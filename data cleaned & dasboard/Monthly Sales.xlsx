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Next Academy\Excel\Class Work\"/>
    </mc:Choice>
  </mc:AlternateContent>
  <xr:revisionPtr revIDLastSave="0" documentId="13_ncr:1_{528F7EF9-E0CD-44F4-ADE0-BC54CBB340CF}" xr6:coauthVersionLast="47" xr6:coauthVersionMax="47" xr10:uidLastSave="{00000000-0000-0000-0000-000000000000}"/>
  <bookViews>
    <workbookView xWindow="-120" yWindow="-120" windowWidth="20730" windowHeight="11310" tabRatio="609" activeTab="2" xr2:uid="{00000000-000D-0000-FFFF-FFFF00000000}"/>
  </bookViews>
  <sheets>
    <sheet name="Data" sheetId="2" r:id="rId1"/>
    <sheet name="PivotTable" sheetId="5" r:id="rId2"/>
    <sheet name="Dashboard" sheetId="3" r:id="rId3"/>
  </sheets>
  <definedNames>
    <definedName name="_xlchart.v1.0" hidden="1">PivotTable!$G$11:$G$14</definedName>
    <definedName name="_xlchart.v1.1" hidden="1">PivotTable!$H$11:$H$14</definedName>
    <definedName name="_xlchart.v1.2" hidden="1">PivotTable!$G$11:$G$14</definedName>
    <definedName name="_xlchart.v1.3" hidden="1">PivotTable!$H$11:$H$14</definedName>
    <definedName name="_xlcn.WorksheetConnection_SohaibOmarS5ExcelMonthlySales.xlsxData1" hidden="1">Data[]</definedName>
    <definedName name="ExternalData_1" localSheetId="0" hidden="1">Data!$A$1:$G$41</definedName>
    <definedName name="Slicer_Customer_Segment">#N/A</definedName>
    <definedName name="Slicer_Date_Hierarchy">#N/A</definedName>
    <definedName name="Slicer_Product_Category">#N/A</definedName>
    <definedName name="Slicer_Product_Type">#N/A</definedName>
    <definedName name="Slicer_Region">#N/A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Sohaib Omar - S5 - Excel - Monthly Sales.xlsx!Data"/>
          <x15:modelTable id="Calendar" name="Calendar" connection="Connection"/>
        </x15:modelTables>
        <x15:modelRelationships>
          <x15:modelRelationship fromTable="Data"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5" l="1"/>
  <c r="D23" i="5" a="1"/>
  <c r="D23" i="5" s="1"/>
  <c r="D21" i="5" a="1"/>
  <c r="D21" i="5" s="1"/>
  <c r="G11" i="5" a="1"/>
  <c r="G11" i="5" s="1"/>
  <c r="E2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0F46BB-576E-4717-837F-C49C01E11E6B}" name="Connection" type="104" refreshedVersion="0" background="1">
    <extLst>
      <ext xmlns:x15="http://schemas.microsoft.com/office/spreadsheetml/2010/11/main" uri="{DE250136-89BD-433C-8126-D09CA5730AF9}">
        <x15:connection id="Calendar"/>
      </ext>
    </extLst>
  </connection>
  <connection id="2" xr16:uid="{724712C6-A22B-4604-970D-E491EF4DAC4E}"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3" xr16:uid="{D2BA8BA9-F219-4F8F-B3D7-02B22CE178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BAABED7-E549-4918-9315-B8089D634CE6}" name="WorksheetConnection_Sohaib Omar - S5 - Excel - Monthly Sales.xlsx!Data" type="102" refreshedVersion="8" minRefreshableVersion="5">
    <extLst>
      <ext xmlns:x15="http://schemas.microsoft.com/office/spreadsheetml/2010/11/main" uri="{DE250136-89BD-433C-8126-D09CA5730AF9}">
        <x15:connection id="Data">
          <x15:rangePr sourceName="_xlcn.WorksheetConnection_SohaibOmarS5ExcelMonthlySales.xlsx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<sst xmlns="http://schemas.openxmlformats.org/spreadsheetml/2006/main" count="253" uniqueCount="34">
  <si>
    <t>Date</t>
  </si>
  <si>
    <t>Product Category</t>
  </si>
  <si>
    <t>Region</t>
  </si>
  <si>
    <t>Salesperson</t>
  </si>
  <si>
    <t>Customer Segment</t>
  </si>
  <si>
    <t>Product Type</t>
  </si>
  <si>
    <t>Sales Amount</t>
  </si>
  <si>
    <t>Electronics</t>
  </si>
  <si>
    <t>North</t>
  </si>
  <si>
    <t>John</t>
  </si>
  <si>
    <t>Wholesale</t>
  </si>
  <si>
    <t>Smartphones</t>
  </si>
  <si>
    <t>Clothing</t>
  </si>
  <si>
    <t>South</t>
  </si>
  <si>
    <t>Emily</t>
  </si>
  <si>
    <t>Retail</t>
  </si>
  <si>
    <t>Apparel</t>
  </si>
  <si>
    <t>West</t>
  </si>
  <si>
    <t>James</t>
  </si>
  <si>
    <t>Lisa</t>
  </si>
  <si>
    <t>Michael</t>
  </si>
  <si>
    <t>David</t>
  </si>
  <si>
    <t>Row Labels</t>
  </si>
  <si>
    <t>January</t>
  </si>
  <si>
    <t>February</t>
  </si>
  <si>
    <t>March</t>
  </si>
  <si>
    <t>April</t>
  </si>
  <si>
    <t>May</t>
  </si>
  <si>
    <t>Grand Total</t>
  </si>
  <si>
    <t>Total Sales</t>
  </si>
  <si>
    <t>Sales Previous Month</t>
  </si>
  <si>
    <t>Growth</t>
  </si>
  <si>
    <t>Difference between Months</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</si>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</sst>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24"/>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9" fontId="0" fillId="0" borderId="0" xfId="1" applyFont="1"/>
    <xf numFmtId="0" fontId="0" fillId="0" borderId="0" xfId="1" applyNumberFormat="1" applyFont="1"/>
    <xf numFmtId="0" fontId="2" fillId="0" borderId="0" xfId="0" applyFont="1" applyAlignment="1">
      <alignment horizontal="left" vertical="center"/>
    </xf>
  </cellXfs>
  <cellStyles count="2">
    <cellStyle name="Normal" xfId="0" builtinId="0"/>
    <cellStyle name="Percent" xfId="1" builtinId="5"/>
  </cellStyles>
  <dxfs count="14">
    <dxf>
      <numFmt numFmtId="0" formatCode="General"/>
    </dxf>
    <dxf>
      <numFmt numFmtId="13" formatCode="0%"/>
    </dxf>
    <dxf>
      <numFmt numFmtId="13" formatCode="0%"/>
    </dxf>
    <dxf>
      <numFmt numFmtId="13" formatCode="0%"/>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19" formatCode="m/d/yyyy"/>
    </dxf>
    <dxf>
      <fill>
        <patternFill>
          <bgColor rgb="FFF43F5E"/>
        </patternFill>
      </fill>
      <border diagonalUp="0" diagonalDown="0">
        <left style="thin">
          <color auto="1"/>
        </left>
        <right style="thin">
          <color auto="1"/>
        </right>
        <top style="thin">
          <color auto="1"/>
        </top>
        <bottom/>
        <vertical/>
        <horizontal/>
      </border>
    </dxf>
    <dxf>
      <font>
        <color theme="0"/>
      </font>
      <fill>
        <patternFill>
          <bgColor rgb="FF1E1E1E"/>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5B716FB6-DFA6-48C5-8627-1A8145756C70}">
      <tableStyleElement type="wholeTable" dxfId="13"/>
      <tableStyleElement type="headerRow" dxfId="12"/>
    </tableStyle>
  </tableStyles>
  <colors>
    <mruColors>
      <color rgb="FF94A3B8"/>
      <color rgb="FFF43F5E"/>
      <color rgb="FF1E1E1E"/>
      <color rgb="FF061211"/>
      <color rgb="FF0F2623"/>
      <color rgb="FF121212"/>
      <color rgb="FF34D399"/>
      <color rgb="FFFBBF24"/>
    </mruColors>
  </colors>
  <extLst>
    <ext xmlns:x14="http://schemas.microsoft.com/office/spreadsheetml/2009/9/main" uri="{46F421CA-312F-682f-3DD2-61675219B42D}">
      <x14:dxfs count="3">
        <dxf>
          <font>
            <b/>
            <i val="0"/>
          </font>
          <fill>
            <patternFill patternType="solid">
              <bgColor theme="1" tint="0.499984740745262"/>
            </patternFill>
          </fill>
          <border diagonalUp="0" diagonalDown="0">
            <left style="thin">
              <color auto="1"/>
            </left>
            <right style="thin">
              <color auto="1"/>
            </right>
            <top style="thin">
              <color auto="1"/>
            </top>
            <bottom style="thin">
              <color auto="1"/>
            </bottom>
            <vertical/>
            <horizontal/>
          </border>
        </dxf>
        <dxf>
          <fill>
            <patternFill>
              <bgColor rgb="FF94A3B8"/>
            </patternFill>
          </fill>
          <border diagonalUp="0" diagonalDown="0">
            <left style="thin">
              <color auto="1"/>
            </left>
            <right style="thin">
              <color auto="1"/>
            </right>
            <top style="thin">
              <color auto="1"/>
            </top>
            <bottom style="thin">
              <color auto="1"/>
            </bottom>
            <vertical/>
            <horizontal/>
          </border>
        </dxf>
        <dxf>
          <fill>
            <patternFill>
              <bgColor rgb="FF0F262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5.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5.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S5 - Excel - Monthly Sales.xlsx]PivotTable!Growth</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 Sales</c:v>
                </c:pt>
              </c:strCache>
            </c:strRef>
          </c:tx>
          <c:spPr>
            <a:solidFill>
              <a:schemeClr val="accent1"/>
            </a:solidFill>
            <a:ln>
              <a:noFill/>
            </a:ln>
            <a:effectLst/>
          </c:spPr>
          <c:invertIfNegative val="0"/>
          <c:cat>
            <c:strRef>
              <c:f>PivotTable!$A$4:$A$7</c:f>
              <c:strCache>
                <c:ptCount val="3"/>
                <c:pt idx="0">
                  <c:v>February</c:v>
                </c:pt>
                <c:pt idx="1">
                  <c:v>March</c:v>
                </c:pt>
                <c:pt idx="2">
                  <c:v>April</c:v>
                </c:pt>
              </c:strCache>
            </c:strRef>
          </c:cat>
          <c:val>
            <c:numRef>
              <c:f>PivotTable!$B$4:$B$7</c:f>
              <c:numCache>
                <c:formatCode>General</c:formatCode>
                <c:ptCount val="3"/>
                <c:pt idx="0">
                  <c:v>49600</c:v>
                </c:pt>
                <c:pt idx="1">
                  <c:v>52300</c:v>
                </c:pt>
                <c:pt idx="2">
                  <c:v>54400</c:v>
                </c:pt>
              </c:numCache>
            </c:numRef>
          </c:val>
          <c:extLst>
            <c:ext xmlns:c16="http://schemas.microsoft.com/office/drawing/2014/chart" uri="{C3380CC4-5D6E-409C-BE32-E72D297353CC}">
              <c16:uniqueId val="{00000000-3BE1-43ED-A367-79A17575316F}"/>
            </c:ext>
          </c:extLst>
        </c:ser>
        <c:ser>
          <c:idx val="1"/>
          <c:order val="1"/>
          <c:tx>
            <c:strRef>
              <c:f>PivotTable!$C$3</c:f>
              <c:strCache>
                <c:ptCount val="1"/>
                <c:pt idx="0">
                  <c:v>Sales Previous Month</c:v>
                </c:pt>
              </c:strCache>
            </c:strRef>
          </c:tx>
          <c:spPr>
            <a:solidFill>
              <a:schemeClr val="accent2"/>
            </a:solidFill>
            <a:ln>
              <a:noFill/>
            </a:ln>
            <a:effectLst/>
          </c:spPr>
          <c:invertIfNegative val="0"/>
          <c:cat>
            <c:strRef>
              <c:f>PivotTable!$A$4:$A$7</c:f>
              <c:strCache>
                <c:ptCount val="3"/>
                <c:pt idx="0">
                  <c:v>February</c:v>
                </c:pt>
                <c:pt idx="1">
                  <c:v>March</c:v>
                </c:pt>
                <c:pt idx="2">
                  <c:v>April</c:v>
                </c:pt>
              </c:strCache>
            </c:strRef>
          </c:cat>
          <c:val>
            <c:numRef>
              <c:f>PivotTable!$C$4:$C$7</c:f>
              <c:numCache>
                <c:formatCode>General</c:formatCode>
                <c:ptCount val="3"/>
                <c:pt idx="0">
                  <c:v>47300</c:v>
                </c:pt>
                <c:pt idx="1">
                  <c:v>49600</c:v>
                </c:pt>
                <c:pt idx="2">
                  <c:v>52300</c:v>
                </c:pt>
              </c:numCache>
            </c:numRef>
          </c:val>
          <c:extLst>
            <c:ext xmlns:c16="http://schemas.microsoft.com/office/drawing/2014/chart" uri="{C3380CC4-5D6E-409C-BE32-E72D297353CC}">
              <c16:uniqueId val="{00000001-3BE1-43ED-A367-79A17575316F}"/>
            </c:ext>
          </c:extLst>
        </c:ser>
        <c:dLbls>
          <c:showLegendKey val="0"/>
          <c:showVal val="0"/>
          <c:showCatName val="0"/>
          <c:showSerName val="0"/>
          <c:showPercent val="0"/>
          <c:showBubbleSize val="0"/>
        </c:dLbls>
        <c:gapWidth val="219"/>
        <c:overlap val="-27"/>
        <c:axId val="716692656"/>
        <c:axId val="716709936"/>
      </c:barChart>
      <c:lineChart>
        <c:grouping val="standard"/>
        <c:varyColors val="0"/>
        <c:ser>
          <c:idx val="2"/>
          <c:order val="2"/>
          <c:tx>
            <c:strRef>
              <c:f>PivotTable!$D$3</c:f>
              <c:strCache>
                <c:ptCount val="1"/>
                <c:pt idx="0">
                  <c:v>Growth</c:v>
                </c:pt>
              </c:strCache>
            </c:strRef>
          </c:tx>
          <c:spPr>
            <a:ln w="28575" cap="rnd">
              <a:solidFill>
                <a:schemeClr val="accent3"/>
              </a:solidFill>
              <a:round/>
            </a:ln>
            <a:effectLst/>
          </c:spPr>
          <c:marker>
            <c:symbol val="none"/>
          </c:marker>
          <c:cat>
            <c:strRef>
              <c:f>PivotTable!$A$4:$A$7</c:f>
              <c:strCache>
                <c:ptCount val="3"/>
                <c:pt idx="0">
                  <c:v>February</c:v>
                </c:pt>
                <c:pt idx="1">
                  <c:v>March</c:v>
                </c:pt>
                <c:pt idx="2">
                  <c:v>April</c:v>
                </c:pt>
              </c:strCache>
            </c:strRef>
          </c:cat>
          <c:val>
            <c:numRef>
              <c:f>PivotTable!$D$4:$D$7</c:f>
              <c:numCache>
                <c:formatCode>0%</c:formatCode>
                <c:ptCount val="3"/>
                <c:pt idx="0">
                  <c:v>4.6370967741935498E-2</c:v>
                </c:pt>
                <c:pt idx="1">
                  <c:v>5.1625239005736123E-2</c:v>
                </c:pt>
                <c:pt idx="2">
                  <c:v>3.8602941176470562E-2</c:v>
                </c:pt>
              </c:numCache>
            </c:numRef>
          </c:val>
          <c:smooth val="0"/>
          <c:extLst>
            <c:ext xmlns:c16="http://schemas.microsoft.com/office/drawing/2014/chart" uri="{C3380CC4-5D6E-409C-BE32-E72D297353CC}">
              <c16:uniqueId val="{00000002-3BE1-43ED-A367-79A17575316F}"/>
            </c:ext>
          </c:extLst>
        </c:ser>
        <c:dLbls>
          <c:showLegendKey val="0"/>
          <c:showVal val="0"/>
          <c:showCatName val="0"/>
          <c:showSerName val="0"/>
          <c:showPercent val="0"/>
          <c:showBubbleSize val="0"/>
        </c:dLbls>
        <c:marker val="1"/>
        <c:smooth val="0"/>
        <c:axId val="716668656"/>
        <c:axId val="716663856"/>
      </c:lineChart>
      <c:catAx>
        <c:axId val="71669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709936"/>
        <c:crosses val="autoZero"/>
        <c:auto val="1"/>
        <c:lblAlgn val="ctr"/>
        <c:lblOffset val="100"/>
        <c:noMultiLvlLbl val="0"/>
      </c:catAx>
      <c:valAx>
        <c:axId val="71670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92656"/>
        <c:crosses val="autoZero"/>
        <c:crossBetween val="between"/>
      </c:valAx>
      <c:valAx>
        <c:axId val="71666385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68656"/>
        <c:crosses val="max"/>
        <c:crossBetween val="between"/>
      </c:valAx>
      <c:catAx>
        <c:axId val="716668656"/>
        <c:scaling>
          <c:orientation val="minMax"/>
        </c:scaling>
        <c:delete val="1"/>
        <c:axPos val="b"/>
        <c:numFmt formatCode="General" sourceLinked="1"/>
        <c:majorTickMark val="out"/>
        <c:minorTickMark val="none"/>
        <c:tickLblPos val="nextTo"/>
        <c:crossAx val="7166638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S5 - Excel - Monthly Sales.xlsx]PivotTable!PersonSale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PivotTable!$B$12</c:f>
              <c:strCache>
                <c:ptCount val="1"/>
                <c:pt idx="0">
                  <c:v>Total</c:v>
                </c:pt>
              </c:strCache>
            </c:strRef>
          </c:tx>
          <c:spPr>
            <a:solidFill>
              <a:schemeClr val="accent1"/>
            </a:solidFill>
            <a:ln>
              <a:noFill/>
            </a:ln>
            <a:effectLst/>
          </c:spPr>
          <c:invertIfNegative val="0"/>
          <c:cat>
            <c:strRef>
              <c:f>PivotTable!$A$13:$A$19</c:f>
              <c:strCache>
                <c:ptCount val="6"/>
                <c:pt idx="0">
                  <c:v>Michael</c:v>
                </c:pt>
                <c:pt idx="1">
                  <c:v>David</c:v>
                </c:pt>
                <c:pt idx="2">
                  <c:v>Emily</c:v>
                </c:pt>
                <c:pt idx="3">
                  <c:v>James</c:v>
                </c:pt>
                <c:pt idx="4">
                  <c:v>Lisa</c:v>
                </c:pt>
                <c:pt idx="5">
                  <c:v>John</c:v>
                </c:pt>
              </c:strCache>
            </c:strRef>
          </c:cat>
          <c:val>
            <c:numRef>
              <c:f>PivotTable!$B$13:$B$19</c:f>
              <c:numCache>
                <c:formatCode>General</c:formatCode>
                <c:ptCount val="6"/>
                <c:pt idx="0">
                  <c:v>13400</c:v>
                </c:pt>
                <c:pt idx="1">
                  <c:v>16100</c:v>
                </c:pt>
                <c:pt idx="2">
                  <c:v>25700</c:v>
                </c:pt>
                <c:pt idx="3">
                  <c:v>32700</c:v>
                </c:pt>
                <c:pt idx="4">
                  <c:v>32700</c:v>
                </c:pt>
                <c:pt idx="5">
                  <c:v>35700</c:v>
                </c:pt>
              </c:numCache>
            </c:numRef>
          </c:val>
          <c:extLst>
            <c:ext xmlns:c16="http://schemas.microsoft.com/office/drawing/2014/chart" uri="{C3380CC4-5D6E-409C-BE32-E72D297353CC}">
              <c16:uniqueId val="{00000005-2C37-4544-A0B8-93CEF5C63611}"/>
            </c:ext>
          </c:extLst>
        </c:ser>
        <c:dLbls>
          <c:showLegendKey val="0"/>
          <c:showVal val="0"/>
          <c:showCatName val="0"/>
          <c:showSerName val="0"/>
          <c:showPercent val="0"/>
          <c:showBubbleSize val="0"/>
        </c:dLbls>
        <c:gapWidth val="182"/>
        <c:axId val="120853760"/>
        <c:axId val="120865280"/>
      </c:barChart>
      <c:catAx>
        <c:axId val="12085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65280"/>
        <c:crosses val="autoZero"/>
        <c:auto val="1"/>
        <c:lblAlgn val="ctr"/>
        <c:lblOffset val="100"/>
        <c:noMultiLvlLbl val="0"/>
      </c:catAx>
      <c:valAx>
        <c:axId val="12086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5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583-4C99-BFA6-B7BFDB946B59}"/>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6583-4C99-BFA6-B7BFDB946B59}"/>
              </c:ext>
            </c:extLst>
          </c:dPt>
          <c:dLbls>
            <c:dLbl>
              <c:idx val="0"/>
              <c:layout>
                <c:manualLayout>
                  <c:x val="-4.7482770554232827E-2"/>
                  <c:y val="-0.13821138211382117"/>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6583-4C99-BFA6-B7BFDB946B59}"/>
                </c:ext>
              </c:extLst>
            </c:dLbl>
            <c:dLbl>
              <c:idx val="1"/>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583-4C99-BFA6-B7BFDB946B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PivotTable!$D$21:$D$22</c:f>
              <c:strCache>
                <c:ptCount val="2"/>
                <c:pt idx="0">
                  <c:v>John</c:v>
                </c:pt>
                <c:pt idx="1">
                  <c:v>Grand Total</c:v>
                </c:pt>
              </c:strCache>
            </c:strRef>
          </c:cat>
          <c:val>
            <c:numRef>
              <c:f>PivotTable!$E$21:$E$22</c:f>
              <c:numCache>
                <c:formatCode>General</c:formatCode>
                <c:ptCount val="2"/>
                <c:pt idx="0">
                  <c:v>35700</c:v>
                </c:pt>
                <c:pt idx="1">
                  <c:v>156300</c:v>
                </c:pt>
              </c:numCache>
            </c:numRef>
          </c:val>
          <c:extLst>
            <c:ext xmlns:c16="http://schemas.microsoft.com/office/drawing/2014/chart" uri="{C3380CC4-5D6E-409C-BE32-E72D297353CC}">
              <c16:uniqueId val="{00000000-6583-4C99-BFA6-B7BFDB946B59}"/>
            </c:ext>
          </c:extLst>
        </c:ser>
        <c:dLbls>
          <c:showLegendKey val="0"/>
          <c:showVal val="1"/>
          <c:showCatName val="0"/>
          <c:showSerName val="0"/>
          <c:showPercent val="0"/>
          <c:showBubbleSize val="0"/>
          <c:showLeaderLines val="1"/>
        </c:dLbls>
        <c:firstSliceAng val="282"/>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2E-448B-8ED5-6EA05D4E38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0C6-46B0-9CD8-DE6F0E3401D4}"/>
              </c:ext>
            </c:extLst>
          </c:dPt>
          <c:dLbls>
            <c:dLbl>
              <c:idx val="1"/>
              <c:delete val="1"/>
              <c:extLst>
                <c:ext xmlns:c15="http://schemas.microsoft.com/office/drawing/2012/chart" uri="{CE6537A1-D6FC-4f65-9D91-7224C49458BB}"/>
                <c:ext xmlns:c16="http://schemas.microsoft.com/office/drawing/2014/chart" uri="{C3380CC4-5D6E-409C-BE32-E72D297353CC}">
                  <c16:uniqueId val="{00000002-80C6-46B0-9CD8-DE6F0E3401D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PivotTable!$D$23:$D$24</c:f>
              <c:strCache>
                <c:ptCount val="1"/>
                <c:pt idx="0">
                  <c:v>Michael</c:v>
                </c:pt>
              </c:strCache>
            </c:strRef>
          </c:cat>
          <c:val>
            <c:numRef>
              <c:f>PivotTable!$E$23:$E$24</c:f>
              <c:numCache>
                <c:formatCode>General</c:formatCode>
                <c:ptCount val="2"/>
                <c:pt idx="0">
                  <c:v>13400</c:v>
                </c:pt>
              </c:numCache>
            </c:numRef>
          </c:val>
          <c:extLst>
            <c:ext xmlns:c16="http://schemas.microsoft.com/office/drawing/2014/chart" uri="{C3380CC4-5D6E-409C-BE32-E72D297353CC}">
              <c16:uniqueId val="{00000000-80C6-46B0-9CD8-DE6F0E3401D4}"/>
            </c:ext>
          </c:extLst>
        </c:ser>
        <c:dLbls>
          <c:showLegendKey val="0"/>
          <c:showVal val="0"/>
          <c:showCatName val="0"/>
          <c:showSerName val="0"/>
          <c:showPercent val="0"/>
          <c:showBubbleSize val="0"/>
          <c:showLeaderLines val="0"/>
        </c:dLbls>
        <c:firstSliceAng val="30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S5 - Excel - Monthly Sales.xlsx]PivotTable!PersonSale Sales</c:name>
    <c:fmtId val="2"/>
  </c:pivotSource>
  <c:chart>
    <c:title>
      <c:tx>
        <c:rich>
          <a:bodyPr rot="0" spcFirstLastPara="1" vertOverflow="ellipsis" vert="horz" wrap="square" anchor="ctr" anchorCtr="1"/>
          <a:lstStyle/>
          <a:p>
            <a:pPr algn="ctr" rtl="0">
              <a:defRPr lang="en-US" sz="2000" b="0" i="0" u="none" strike="noStrike" kern="1200" spc="0" baseline="0">
                <a:solidFill>
                  <a:schemeClr val="bg1"/>
                </a:solidFill>
                <a:latin typeface="Calibri" panose="020F0502020204030204"/>
                <a:ea typeface="Calibri" panose="020F0502020204030204" pitchFamily="34" charset="0"/>
                <a:cs typeface="Calibri" panose="020F0502020204030204" pitchFamily="34" charset="0"/>
              </a:defRPr>
            </a:pPr>
            <a:r>
              <a:rPr lang="en-US" sz="2000" b="0" i="0" u="none" strike="noStrike" baseline="0"/>
              <a:t>Total Sales per Salesperson</a:t>
            </a:r>
            <a:endParaRPr lang="en-US" sz="2000" b="0" i="0" u="none" strike="noStrike" baseline="0" dirty="0">
              <a:solidFill>
                <a:schemeClr val="bg1"/>
              </a:solidFill>
              <a:latin typeface="Calibri" panose="020F0502020204030204"/>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chemeClr val="bg1"/>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3F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PivotTable!$B$12</c:f>
              <c:strCache>
                <c:ptCount val="1"/>
                <c:pt idx="0">
                  <c:v>Total</c:v>
                </c:pt>
              </c:strCache>
            </c:strRef>
          </c:tx>
          <c:spPr>
            <a:solidFill>
              <a:srgbClr val="F43F5E"/>
            </a:solidFill>
            <a:ln>
              <a:noFill/>
            </a:ln>
            <a:effectLst/>
          </c:spPr>
          <c:invertIfNegative val="0"/>
          <c:cat>
            <c:strRef>
              <c:f>PivotTable!$A$13:$A$19</c:f>
              <c:strCache>
                <c:ptCount val="6"/>
                <c:pt idx="0">
                  <c:v>Michael</c:v>
                </c:pt>
                <c:pt idx="1">
                  <c:v>David</c:v>
                </c:pt>
                <c:pt idx="2">
                  <c:v>Emily</c:v>
                </c:pt>
                <c:pt idx="3">
                  <c:v>James</c:v>
                </c:pt>
                <c:pt idx="4">
                  <c:v>Lisa</c:v>
                </c:pt>
                <c:pt idx="5">
                  <c:v>John</c:v>
                </c:pt>
              </c:strCache>
            </c:strRef>
          </c:cat>
          <c:val>
            <c:numRef>
              <c:f>PivotTable!$B$13:$B$19</c:f>
              <c:numCache>
                <c:formatCode>General</c:formatCode>
                <c:ptCount val="6"/>
                <c:pt idx="0">
                  <c:v>13400</c:v>
                </c:pt>
                <c:pt idx="1">
                  <c:v>16100</c:v>
                </c:pt>
                <c:pt idx="2">
                  <c:v>25700</c:v>
                </c:pt>
                <c:pt idx="3">
                  <c:v>32700</c:v>
                </c:pt>
                <c:pt idx="4">
                  <c:v>32700</c:v>
                </c:pt>
                <c:pt idx="5">
                  <c:v>35700</c:v>
                </c:pt>
              </c:numCache>
            </c:numRef>
          </c:val>
          <c:extLst>
            <c:ext xmlns:c16="http://schemas.microsoft.com/office/drawing/2014/chart" uri="{C3380CC4-5D6E-409C-BE32-E72D297353CC}">
              <c16:uniqueId val="{00000000-2727-424D-8044-98E4DC9E87F2}"/>
            </c:ext>
          </c:extLst>
        </c:ser>
        <c:dLbls>
          <c:showLegendKey val="0"/>
          <c:showVal val="0"/>
          <c:showCatName val="0"/>
          <c:showSerName val="0"/>
          <c:showPercent val="0"/>
          <c:showBubbleSize val="0"/>
        </c:dLbls>
        <c:gapWidth val="182"/>
        <c:axId val="120853760"/>
        <c:axId val="120865280"/>
      </c:barChart>
      <c:catAx>
        <c:axId val="12085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0865280"/>
        <c:crosses val="autoZero"/>
        <c:auto val="1"/>
        <c:lblAlgn val="ctr"/>
        <c:lblOffset val="100"/>
        <c:noMultiLvlLbl val="0"/>
      </c:catAx>
      <c:valAx>
        <c:axId val="12086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k"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085376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9525" cap="flat" cmpd="sng" algn="ctr">
      <a:solidFill>
        <a:sysClr val="windowText" lastClr="000000"/>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[Sohaib Omar - S5 - Excel - Monthly Sales.xlsx]PivotTable!Growth</c:name>
    <c:fmtId val="4"/>
  </c:pivotSource>
  <c:chart>
    <c:title>
      <c:tx>
        <c:rich>
          <a:bodyPr rot="0" spcFirstLastPara="1" vertOverflow="ellipsis" vert="horz" wrap="square" anchor="ctr" anchorCtr="1"/>
          <a:lstStyle/>
          <a:p>
            <a:pPr algn="ctr" rtl="0">
              <a:defRPr lang="en-US" sz="2000" b="0" i="0" u="none" strike="noStrike" kern="1200" spc="0" baseline="0">
                <a:solidFill>
                  <a:schemeClr val="bg1"/>
                </a:solidFill>
                <a:latin typeface="Calibri" panose="020F0502020204030204"/>
                <a:ea typeface="Calibri" panose="020F0502020204030204" pitchFamily="34" charset="0"/>
                <a:cs typeface="Calibri" panose="020F0502020204030204" pitchFamily="34" charset="0"/>
              </a:defRPr>
            </a:pPr>
            <a:r>
              <a:rPr lang="en-US" sz="2000" b="0" i="0" u="none" strike="noStrike" baseline="0"/>
              <a:t>MoM Sales Analysis &amp; Growth</a:t>
            </a:r>
            <a:endParaRPr lang="en-US" sz="2000" b="0" i="0" u="none" strike="noStrike" baseline="0" dirty="0">
              <a:solidFill>
                <a:schemeClr val="bg1"/>
              </a:solidFill>
              <a:latin typeface="Calibri" panose="020F0502020204030204"/>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chemeClr val="bg1"/>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43F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34D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401463586773129E-2"/>
          <c:y val="0.15426492458041216"/>
          <c:w val="0.82016621539279155"/>
          <c:h val="0.78678492745768158"/>
        </c:manualLayout>
      </c:layout>
      <c:barChart>
        <c:barDir val="col"/>
        <c:grouping val="clustered"/>
        <c:varyColors val="0"/>
        <c:ser>
          <c:idx val="0"/>
          <c:order val="0"/>
          <c:tx>
            <c:strRef>
              <c:f>PivotTable!$B$3</c:f>
              <c:strCache>
                <c:ptCount val="1"/>
                <c:pt idx="0">
                  <c:v>Total Sales</c:v>
                </c:pt>
              </c:strCache>
            </c:strRef>
          </c:tx>
          <c:spPr>
            <a:solidFill>
              <a:srgbClr val="F43F5E"/>
            </a:solidFill>
            <a:ln>
              <a:noFill/>
            </a:ln>
            <a:effectLst/>
          </c:spPr>
          <c:invertIfNegative val="0"/>
          <c:cat>
            <c:strRef>
              <c:f>PivotTable!$A$4:$A$7</c:f>
              <c:strCache>
                <c:ptCount val="3"/>
                <c:pt idx="0">
                  <c:v>February</c:v>
                </c:pt>
                <c:pt idx="1">
                  <c:v>March</c:v>
                </c:pt>
                <c:pt idx="2">
                  <c:v>April</c:v>
                </c:pt>
              </c:strCache>
            </c:strRef>
          </c:cat>
          <c:val>
            <c:numRef>
              <c:f>PivotTable!$B$4:$B$7</c:f>
              <c:numCache>
                <c:formatCode>General</c:formatCode>
                <c:ptCount val="3"/>
                <c:pt idx="0">
                  <c:v>49600</c:v>
                </c:pt>
                <c:pt idx="1">
                  <c:v>52300</c:v>
                </c:pt>
                <c:pt idx="2">
                  <c:v>54400</c:v>
                </c:pt>
              </c:numCache>
            </c:numRef>
          </c:val>
          <c:extLst>
            <c:ext xmlns:c16="http://schemas.microsoft.com/office/drawing/2014/chart" uri="{C3380CC4-5D6E-409C-BE32-E72D297353CC}">
              <c16:uniqueId val="{00000000-12E9-4B58-8810-862C4F8D043C}"/>
            </c:ext>
          </c:extLst>
        </c:ser>
        <c:ser>
          <c:idx val="1"/>
          <c:order val="1"/>
          <c:tx>
            <c:strRef>
              <c:f>PivotTable!$C$3</c:f>
              <c:strCache>
                <c:ptCount val="1"/>
                <c:pt idx="0">
                  <c:v>Sales Previous Month</c:v>
                </c:pt>
              </c:strCache>
            </c:strRef>
          </c:tx>
          <c:spPr>
            <a:solidFill>
              <a:srgbClr val="94A3B8"/>
            </a:solidFill>
            <a:ln>
              <a:noFill/>
            </a:ln>
            <a:effectLst/>
          </c:spPr>
          <c:invertIfNegative val="0"/>
          <c:cat>
            <c:strRef>
              <c:f>PivotTable!$A$4:$A$7</c:f>
              <c:strCache>
                <c:ptCount val="3"/>
                <c:pt idx="0">
                  <c:v>February</c:v>
                </c:pt>
                <c:pt idx="1">
                  <c:v>March</c:v>
                </c:pt>
                <c:pt idx="2">
                  <c:v>April</c:v>
                </c:pt>
              </c:strCache>
            </c:strRef>
          </c:cat>
          <c:val>
            <c:numRef>
              <c:f>PivotTable!$C$4:$C$7</c:f>
              <c:numCache>
                <c:formatCode>General</c:formatCode>
                <c:ptCount val="3"/>
                <c:pt idx="0">
                  <c:v>47300</c:v>
                </c:pt>
                <c:pt idx="1">
                  <c:v>49600</c:v>
                </c:pt>
                <c:pt idx="2">
                  <c:v>52300</c:v>
                </c:pt>
              </c:numCache>
            </c:numRef>
          </c:val>
          <c:extLst>
            <c:ext xmlns:c16="http://schemas.microsoft.com/office/drawing/2014/chart" uri="{C3380CC4-5D6E-409C-BE32-E72D297353CC}">
              <c16:uniqueId val="{00000001-12E9-4B58-8810-862C4F8D043C}"/>
            </c:ext>
          </c:extLst>
        </c:ser>
        <c:dLbls>
          <c:showLegendKey val="0"/>
          <c:showVal val="0"/>
          <c:showCatName val="0"/>
          <c:showSerName val="0"/>
          <c:showPercent val="0"/>
          <c:showBubbleSize val="0"/>
        </c:dLbls>
        <c:gapWidth val="219"/>
        <c:overlap val="-27"/>
        <c:axId val="716692656"/>
        <c:axId val="716709936"/>
      </c:barChart>
      <c:lineChart>
        <c:grouping val="standard"/>
        <c:varyColors val="0"/>
        <c:ser>
          <c:idx val="2"/>
          <c:order val="2"/>
          <c:tx>
            <c:strRef>
              <c:f>PivotTable!$D$3</c:f>
              <c:strCache>
                <c:ptCount val="1"/>
                <c:pt idx="0">
                  <c:v>Growth</c:v>
                </c:pt>
              </c:strCache>
            </c:strRef>
          </c:tx>
          <c:spPr>
            <a:ln w="28575" cap="rnd">
              <a:solidFill>
                <a:srgbClr val="34D399"/>
              </a:solidFill>
              <a:round/>
            </a:ln>
            <a:effectLst/>
          </c:spPr>
          <c:marker>
            <c:symbol val="none"/>
          </c:marker>
          <c:cat>
            <c:strRef>
              <c:f>PivotTable!$A$4:$A$7</c:f>
              <c:strCache>
                <c:ptCount val="3"/>
                <c:pt idx="0">
                  <c:v>February</c:v>
                </c:pt>
                <c:pt idx="1">
                  <c:v>March</c:v>
                </c:pt>
                <c:pt idx="2">
                  <c:v>April</c:v>
                </c:pt>
              </c:strCache>
            </c:strRef>
          </c:cat>
          <c:val>
            <c:numRef>
              <c:f>PivotTable!$D$4:$D$7</c:f>
              <c:numCache>
                <c:formatCode>0%</c:formatCode>
                <c:ptCount val="3"/>
                <c:pt idx="0">
                  <c:v>4.6370967741935498E-2</c:v>
                </c:pt>
                <c:pt idx="1">
                  <c:v>5.1625239005736123E-2</c:v>
                </c:pt>
                <c:pt idx="2">
                  <c:v>3.8602941176470562E-2</c:v>
                </c:pt>
              </c:numCache>
            </c:numRef>
          </c:val>
          <c:smooth val="0"/>
          <c:extLst>
            <c:ext xmlns:c16="http://schemas.microsoft.com/office/drawing/2014/chart" uri="{C3380CC4-5D6E-409C-BE32-E72D297353CC}">
              <c16:uniqueId val="{00000002-12E9-4B58-8810-862C4F8D043C}"/>
            </c:ext>
          </c:extLst>
        </c:ser>
        <c:dLbls>
          <c:showLegendKey val="0"/>
          <c:showVal val="0"/>
          <c:showCatName val="0"/>
          <c:showSerName val="0"/>
          <c:showPercent val="0"/>
          <c:showBubbleSize val="0"/>
        </c:dLbls>
        <c:marker val="1"/>
        <c:smooth val="0"/>
        <c:axId val="716668656"/>
        <c:axId val="716663856"/>
      </c:lineChart>
      <c:catAx>
        <c:axId val="71669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716709936"/>
        <c:crosses val="autoZero"/>
        <c:auto val="1"/>
        <c:lblAlgn val="ctr"/>
        <c:lblOffset val="100"/>
        <c:noMultiLvlLbl val="0"/>
      </c:catAx>
      <c:valAx>
        <c:axId val="71670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k"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716692656"/>
        <c:crosses val="autoZero"/>
        <c:crossBetween val="between"/>
        <c:dispUnits>
          <c:builtInUnit val="thousands"/>
        </c:dispUnits>
      </c:valAx>
      <c:valAx>
        <c:axId val="71666385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bg1"/>
                </a:solidFill>
                <a:latin typeface="+mn-lt"/>
                <a:ea typeface="+mn-ea"/>
                <a:cs typeface="+mn-cs"/>
              </a:defRPr>
            </a:pPr>
            <a:endParaRPr lang="en-US"/>
          </a:p>
        </c:txPr>
        <c:crossAx val="716668656"/>
        <c:crosses val="max"/>
        <c:crossBetween val="between"/>
      </c:valAx>
      <c:catAx>
        <c:axId val="716668656"/>
        <c:scaling>
          <c:orientation val="minMax"/>
        </c:scaling>
        <c:delete val="1"/>
        <c:axPos val="b"/>
        <c:numFmt formatCode="General" sourceLinked="1"/>
        <c:majorTickMark val="out"/>
        <c:minorTickMark val="none"/>
        <c:tickLblPos val="nextTo"/>
        <c:crossAx val="716663856"/>
        <c:crosses val="autoZero"/>
        <c:auto val="1"/>
        <c:lblAlgn val="ctr"/>
        <c:lblOffset val="100"/>
        <c:noMultiLvlLbl val="0"/>
      </c:catAx>
      <c:spPr>
        <a:noFill/>
        <a:ln>
          <a:noFill/>
        </a:ln>
        <a:effectLst/>
      </c:spPr>
    </c:plotArea>
    <c:legend>
      <c:legendPos val="t"/>
      <c:layout>
        <c:manualLayout>
          <c:xMode val="edge"/>
          <c:yMode val="edge"/>
          <c:x val="9.5761463374248512E-2"/>
          <c:y val="9.6704481012531165E-2"/>
          <c:w val="0.8119854248558831"/>
          <c:h val="4.8021333614368951E-2"/>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9525" cap="flat" cmpd="sng" algn="ctr">
      <a:solidFill>
        <a:sysClr val="windowText" lastClr="000000"/>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43090365656139"/>
          <c:y val="0.29031071850160789"/>
          <c:w val="0.31740251912882445"/>
          <c:h val="0.55080799780881951"/>
        </c:manualLayout>
      </c:layout>
      <c:doughnutChart>
        <c:varyColors val="1"/>
        <c:ser>
          <c:idx val="0"/>
          <c:order val="0"/>
          <c:spPr>
            <a:solidFill>
              <a:srgbClr val="94A3B8"/>
            </a:solidFill>
          </c:spPr>
          <c:dPt>
            <c:idx val="0"/>
            <c:bubble3D val="0"/>
            <c:spPr>
              <a:solidFill>
                <a:srgbClr val="94A3B8"/>
              </a:solidFill>
              <a:ln w="19050">
                <a:solidFill>
                  <a:schemeClr val="lt1"/>
                </a:solidFill>
              </a:ln>
              <a:effectLst/>
            </c:spPr>
            <c:extLst>
              <c:ext xmlns:c16="http://schemas.microsoft.com/office/drawing/2014/chart" uri="{C3380CC4-5D6E-409C-BE32-E72D297353CC}">
                <c16:uniqueId val="{00000001-DDD2-4337-AECE-A366E41C30E8}"/>
              </c:ext>
            </c:extLst>
          </c:dPt>
          <c:dPt>
            <c:idx val="1"/>
            <c:bubble3D val="0"/>
            <c:spPr>
              <a:solidFill>
                <a:srgbClr val="F43F5E"/>
              </a:solidFill>
              <a:ln w="19050">
                <a:solidFill>
                  <a:schemeClr val="lt1"/>
                </a:solidFill>
              </a:ln>
              <a:effectLst/>
            </c:spPr>
            <c:extLst>
              <c:ext xmlns:c16="http://schemas.microsoft.com/office/drawing/2014/chart" uri="{C3380CC4-5D6E-409C-BE32-E72D297353CC}">
                <c16:uniqueId val="{00000003-DDD2-4337-AECE-A366E41C30E8}"/>
              </c:ext>
            </c:extLst>
          </c:dPt>
          <c:dLbls>
            <c:dLbl>
              <c:idx val="0"/>
              <c:delete val="1"/>
              <c:extLst>
                <c:ext xmlns:c15="http://schemas.microsoft.com/office/drawing/2012/chart" uri="{CE6537A1-D6FC-4f65-9D91-7224C49458BB}"/>
                <c:ext xmlns:c16="http://schemas.microsoft.com/office/drawing/2014/chart" uri="{C3380CC4-5D6E-409C-BE32-E72D297353CC}">
                  <c16:uniqueId val="{00000001-DDD2-4337-AECE-A366E41C30E8}"/>
                </c:ext>
              </c:extLst>
            </c:dLbl>
            <c:dLbl>
              <c:idx val="1"/>
              <c:layout>
                <c:manualLayout>
                  <c:x val="-0.19628206654519856"/>
                  <c:y val="-2.025464885415790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7A9FACF-0DC5-40A9-BF15-E4EF79FD3357}" type="CATEGORYNAME">
                      <a:rPr lang="en-US">
                        <a:solidFill>
                          <a:schemeClr val="bg1"/>
                        </a:solidFill>
                      </a:rPr>
                      <a:pPr>
                        <a:defRPr/>
                      </a:pPr>
                      <a:t>[CATEGORY NAME]</a:t>
                    </a:fld>
                    <a:r>
                      <a:rPr lang="en-US" baseline="0">
                        <a:solidFill>
                          <a:schemeClr val="bg1"/>
                        </a:solidFill>
                      </a:rPr>
                      <a:t>:</a:t>
                    </a:r>
                    <a:fld id="{EF1F9382-3015-4233-950A-99EE56B25366}" type="PERCENTAGE">
                      <a:rPr lang="en-US" baseline="0">
                        <a:solidFill>
                          <a:schemeClr val="bg1"/>
                        </a:solidFill>
                      </a:rPr>
                      <a:pPr>
                        <a:defRPr/>
                      </a:pPr>
                      <a:t>[PERCENTAGE]</a:t>
                    </a:fld>
                    <a:endParaRPr lang="en-US" baseline="0">
                      <a:solidFill>
                        <a:schemeClr val="bg1"/>
                      </a:solidFill>
                    </a:endParaRPr>
                  </a:p>
                </c:rich>
              </c:tx>
              <c:spPr>
                <a:solidFill>
                  <a:srgbClr val="F43F5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7558880169084271"/>
                      <c:h val="0.17401945752278147"/>
                    </c:manualLayout>
                  </c15:layout>
                  <c15:dlblFieldTable/>
                  <c15:showDataLabelsRange val="0"/>
                </c:ext>
                <c:ext xmlns:c16="http://schemas.microsoft.com/office/drawing/2014/chart" uri="{C3380CC4-5D6E-409C-BE32-E72D297353CC}">
                  <c16:uniqueId val="{00000003-DDD2-4337-AECE-A366E41C30E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PivotTable!$D$22:$D$23</c:f>
              <c:strCache>
                <c:ptCount val="2"/>
                <c:pt idx="0">
                  <c:v>Grand Total</c:v>
                </c:pt>
                <c:pt idx="1">
                  <c:v>Michael</c:v>
                </c:pt>
              </c:strCache>
            </c:strRef>
          </c:cat>
          <c:val>
            <c:numRef>
              <c:f>PivotTable!$E$22:$E$23</c:f>
              <c:numCache>
                <c:formatCode>General</c:formatCode>
                <c:ptCount val="2"/>
                <c:pt idx="0">
                  <c:v>156300</c:v>
                </c:pt>
                <c:pt idx="1">
                  <c:v>13400</c:v>
                </c:pt>
              </c:numCache>
            </c:numRef>
          </c:val>
          <c:extLst>
            <c:ext xmlns:c16="http://schemas.microsoft.com/office/drawing/2014/chart" uri="{C3380CC4-5D6E-409C-BE32-E72D297353CC}">
              <c16:uniqueId val="{00000004-DDD2-4337-AECE-A366E41C30E8}"/>
            </c:ext>
          </c:extLst>
        </c:ser>
        <c:dLbls>
          <c:showLegendKey val="0"/>
          <c:showVal val="0"/>
          <c:showCatName val="0"/>
          <c:showSerName val="0"/>
          <c:showPercent val="0"/>
          <c:showBubbleSize val="0"/>
          <c:showLeaderLines val="0"/>
        </c:dLbls>
        <c:firstSliceAng val="33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867462747342332"/>
          <c:y val="0.28192402614589207"/>
          <c:w val="0.34293272610165532"/>
          <c:h val="0.55740996586955049"/>
        </c:manualLayout>
      </c:layout>
      <c:doughnutChart>
        <c:varyColors val="1"/>
        <c:ser>
          <c:idx val="0"/>
          <c:order val="0"/>
          <c:spPr>
            <a:solidFill>
              <a:srgbClr val="F43F5E"/>
            </a:solidFill>
          </c:spPr>
          <c:dPt>
            <c:idx val="0"/>
            <c:bubble3D val="0"/>
            <c:spPr>
              <a:solidFill>
                <a:srgbClr val="F43F5E"/>
              </a:solidFill>
              <a:ln w="19050">
                <a:solidFill>
                  <a:schemeClr val="lt1"/>
                </a:solidFill>
              </a:ln>
              <a:effectLst/>
            </c:spPr>
            <c:extLst>
              <c:ext xmlns:c16="http://schemas.microsoft.com/office/drawing/2014/chart" uri="{C3380CC4-5D6E-409C-BE32-E72D297353CC}">
                <c16:uniqueId val="{00000001-C42B-4FCE-B43E-7CF552E439C6}"/>
              </c:ext>
            </c:extLst>
          </c:dPt>
          <c:dPt>
            <c:idx val="1"/>
            <c:bubble3D val="0"/>
            <c:spPr>
              <a:solidFill>
                <a:srgbClr val="94A3B8"/>
              </a:solidFill>
              <a:ln w="19050">
                <a:solidFill>
                  <a:schemeClr val="lt1"/>
                </a:solidFill>
              </a:ln>
              <a:effectLst/>
            </c:spPr>
            <c:extLst>
              <c:ext xmlns:c16="http://schemas.microsoft.com/office/drawing/2014/chart" uri="{C3380CC4-5D6E-409C-BE32-E72D297353CC}">
                <c16:uniqueId val="{00000003-C42B-4FCE-B43E-7CF552E439C6}"/>
              </c:ext>
            </c:extLst>
          </c:dPt>
          <c:dLbls>
            <c:dLbl>
              <c:idx val="0"/>
              <c:layout>
                <c:manualLayout>
                  <c:x val="-0.19778494569570412"/>
                  <c:y val="-3.9349622129905837E-2"/>
                </c:manualLayout>
              </c:layout>
              <c:spPr>
                <a:solidFill>
                  <a:srgbClr val="F43F5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6040666550444125"/>
                      <c:h val="0.17870221460305605"/>
                    </c:manualLayout>
                  </c15:layout>
                </c:ext>
                <c:ext xmlns:c16="http://schemas.microsoft.com/office/drawing/2014/chart" uri="{C3380CC4-5D6E-409C-BE32-E72D297353CC}">
                  <c16:uniqueId val="{00000001-C42B-4FCE-B43E-7CF552E439C6}"/>
                </c:ext>
              </c:extLst>
            </c:dLbl>
            <c:dLbl>
              <c:idx val="1"/>
              <c:delete val="1"/>
              <c:extLst>
                <c:ext xmlns:c15="http://schemas.microsoft.com/office/drawing/2012/chart" uri="{CE6537A1-D6FC-4f65-9D91-7224C49458BB}"/>
                <c:ext xmlns:c16="http://schemas.microsoft.com/office/drawing/2014/chart" uri="{C3380CC4-5D6E-409C-BE32-E72D297353CC}">
                  <c16:uniqueId val="{00000003-C42B-4FCE-B43E-7CF552E439C6}"/>
                </c:ext>
              </c:extLst>
            </c:dLbl>
            <c:spPr>
              <a:solidFill>
                <a:srgbClr val="F43F5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PivotTable!$D$21:$D$22</c:f>
              <c:strCache>
                <c:ptCount val="2"/>
                <c:pt idx="0">
                  <c:v>John</c:v>
                </c:pt>
                <c:pt idx="1">
                  <c:v>Grand Total</c:v>
                </c:pt>
              </c:strCache>
            </c:strRef>
          </c:cat>
          <c:val>
            <c:numRef>
              <c:f>PivotTable!$E$21:$E$22</c:f>
              <c:numCache>
                <c:formatCode>General</c:formatCode>
                <c:ptCount val="2"/>
                <c:pt idx="0">
                  <c:v>35700</c:v>
                </c:pt>
                <c:pt idx="1">
                  <c:v>156300</c:v>
                </c:pt>
              </c:numCache>
            </c:numRef>
          </c:val>
          <c:extLst>
            <c:ext xmlns:c16="http://schemas.microsoft.com/office/drawing/2014/chart" uri="{C3380CC4-5D6E-409C-BE32-E72D297353CC}">
              <c16:uniqueId val="{00000004-C42B-4FCE-B43E-7CF552E439C6}"/>
            </c:ext>
          </c:extLst>
        </c:ser>
        <c:dLbls>
          <c:showLegendKey val="0"/>
          <c:showVal val="1"/>
          <c:showCatName val="0"/>
          <c:showSerName val="0"/>
          <c:showPercent val="0"/>
          <c:showBubbleSize val="0"/>
          <c:showLeaderLines val="0"/>
        </c:dLbls>
        <c:firstSliceAng val="282"/>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waterfall" uniqueId="{00000000-CCC4-4F22-8394-D310DE5E4AB4}">
          <cx:dataLabels pos="outEnd">
            <cx:visibility seriesName="0" categoryName="0" value="1"/>
          </cx:dataLabels>
          <cx:dataId val="0"/>
          <cx:layoutPr>
            <cx:subtotals>
              <cx:idx val="0"/>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rich>
          <a:bodyPr vertOverflow="overflow" horzOverflow="overflow" wrap="square" lIns="0" tIns="0" rIns="0" bIns="0"/>
          <a:lstStyle/>
          <a:p>
            <a:pPr algn="ctr" rtl="0">
              <a:defRPr sz="1400" b="0" i="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2000" b="0" i="0" u="none" strike="noStrike" baseline="0">
                <a:solidFill>
                  <a:schemeClr val="bg1"/>
                </a:solidFill>
                <a:latin typeface="Calibri" panose="020F0502020204030204"/>
                <a:ea typeface="Calibri" panose="020F0502020204030204" pitchFamily="34" charset="0"/>
                <a:cs typeface="Calibri" panose="020F0502020204030204" pitchFamily="34" charset="0"/>
              </a:rPr>
              <a:t>Monthly Sales Variance</a:t>
            </a:r>
            <a:endParaRPr lang="en-US" sz="2000">
              <a:solidFill>
                <a:schemeClr val="bg1"/>
              </a:solidFill>
            </a:endParaRPr>
          </a:p>
        </cx:rich>
      </cx:tx>
      <cx:spPr>
        <a:noFill/>
      </cx:spPr>
    </cx:title>
    <cx:plotArea>
      <cx:plotAreaRegion>
        <cx:series layoutId="waterfall" uniqueId="{00000000-CCC4-4F22-8394-D310DE5E4AB4}">
          <cx:spPr>
            <a:solidFill>
              <a:srgbClr val="F43F5E"/>
            </a:solidFill>
          </cx:spPr>
          <cx:dataPt idx="0">
            <cx:spPr>
              <a:solidFill>
                <a:srgbClr val="94A3B8"/>
              </a:solidFill>
            </cx:spPr>
          </cx:dataPt>
          <cx:dataLabels>
            <cx:numFmt formatCode="Generalk" sourceLinked="0"/>
            <cx:txPr>
              <a:bodyPr vertOverflow="overflow" horzOverflow="overflow" wrap="square" lIns="0" tIns="0" rIns="0" bIns="0"/>
              <a:lstStyle/>
              <a:p>
                <a:pPr algn="ctr" rtl="0">
                  <a:defRPr sz="10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000">
                  <a:solidFill>
                    <a:schemeClr val="bg1"/>
                  </a:solidFill>
                </a:endParaRPr>
              </a:p>
            </cx:txPr>
            <cx:visibility seriesName="0" categoryName="0" value="1"/>
            <cx:separator>, </cx:separator>
          </cx:dataLabels>
          <cx:dataId val="0"/>
          <cx:layoutPr>
            <cx:subtotals>
              <cx:idx val="0"/>
            </cx:subtotals>
          </cx:layoutPr>
        </cx:series>
      </cx:plotAreaRegion>
      <cx:axis id="0">
        <cx:catScaling gapWidth="0.5"/>
        <cx:tickLabels/>
        <cx:txPr>
          <a:bodyPr vertOverflow="overflow" horzOverflow="overflow" wrap="square" lIns="0" tIns="0" rIns="0" bIns="0"/>
          <a:lstStyle/>
          <a:p>
            <a:pPr algn="ctr" rtl="0">
              <a:defRPr sz="1000" b="0" i="0" u="none">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000" u="none">
              <a:solidFill>
                <a:schemeClr val="bg1"/>
              </a:solidFill>
            </a:endParaRPr>
          </a:p>
        </cx:txPr>
      </cx:axis>
      <cx:axis id="1">
        <cx:valScaling/>
        <cx:units unit="thousands"/>
        <cx:majorGridlines/>
        <cx:tickLabels/>
        <cx:numFmt formatCode="Generalk" sourceLinked="0"/>
        <cx:txPr>
          <a:bodyPr vertOverflow="overflow" horzOverflow="overflow" wrap="square" lIns="0" tIns="0" rIns="0" bIns="0"/>
          <a:lstStyle/>
          <a:p>
            <a:pPr algn="ctr" rtl="0">
              <a:defRPr sz="1000" b="0" i="0" u="none">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000" u="none">
              <a:solidFill>
                <a:schemeClr val="bg1"/>
              </a:solidFill>
            </a:endParaRPr>
          </a:p>
        </cx:txPr>
      </cx:axis>
    </cx:plotArea>
  </cx:chart>
  <cx:spPr>
    <a:solidFill>
      <a:srgbClr val="1E1E1E"/>
    </a:solidFill>
    <a:ln>
      <a:solidFill>
        <a:sysClr val="windowText" lastClr="000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6.xml"/><Relationship Id="rId7" Type="http://schemas.openxmlformats.org/officeDocument/2006/relationships/image" Target="../media/image2.svg"/><Relationship Id="rId2" Type="http://schemas.openxmlformats.org/officeDocument/2006/relationships/chart" Target="../charts/chart5.xml"/><Relationship Id="rId1" Type="http://schemas.microsoft.com/office/2014/relationships/chartEx" Target="../charts/chartEx2.xml"/><Relationship Id="rId6" Type="http://schemas.openxmlformats.org/officeDocument/2006/relationships/image" Target="../media/image1.png"/><Relationship Id="rId5" Type="http://schemas.openxmlformats.org/officeDocument/2006/relationships/chart" Target="../charts/chart8.xml"/><Relationship Id="rId10" Type="http://schemas.openxmlformats.org/officeDocument/2006/relationships/image" Target="../media/image5.png"/><Relationship Id="rId4" Type="http://schemas.openxmlformats.org/officeDocument/2006/relationships/chart" Target="../charts/chart7.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8</xdr:col>
      <xdr:colOff>1766888</xdr:colOff>
      <xdr:row>44</xdr:row>
      <xdr:rowOff>123144</xdr:rowOff>
    </xdr:from>
    <xdr:to>
      <xdr:col>13</xdr:col>
      <xdr:colOff>60552</xdr:colOff>
      <xdr:row>59</xdr:row>
      <xdr:rowOff>8844</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8D7E1FCD-F736-473D-4883-2E7F9BA9E3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911013" y="8505144"/>
              <a:ext cx="3599089"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38100</xdr:colOff>
      <xdr:row>15</xdr:row>
      <xdr:rowOff>100012</xdr:rowOff>
    </xdr:from>
    <xdr:to>
      <xdr:col>11</xdr:col>
      <xdr:colOff>438150</xdr:colOff>
      <xdr:row>29</xdr:row>
      <xdr:rowOff>176212</xdr:rowOff>
    </xdr:to>
    <xdr:graphicFrame macro="">
      <xdr:nvGraphicFramePr>
        <xdr:cNvPr id="7" name="Chart 6">
          <a:extLst>
            <a:ext uri="{FF2B5EF4-FFF2-40B4-BE49-F238E27FC236}">
              <a16:creationId xmlns:a16="http://schemas.microsoft.com/office/drawing/2014/main" id="{38F63DBE-883A-1DF1-8F1D-07ED52C54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27213</xdr:colOff>
      <xdr:row>29</xdr:row>
      <xdr:rowOff>179614</xdr:rowOff>
    </xdr:from>
    <xdr:to>
      <xdr:col>11</xdr:col>
      <xdr:colOff>462643</xdr:colOff>
      <xdr:row>44</xdr:row>
      <xdr:rowOff>68035</xdr:rowOff>
    </xdr:to>
    <xdr:graphicFrame macro="">
      <xdr:nvGraphicFramePr>
        <xdr:cNvPr id="8" name="Chart 7">
          <a:extLst>
            <a:ext uri="{FF2B5EF4-FFF2-40B4-BE49-F238E27FC236}">
              <a16:creationId xmlns:a16="http://schemas.microsoft.com/office/drawing/2014/main" id="{E9030573-55C3-9C3D-CCD1-4E0FD0363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33</xdr:row>
      <xdr:rowOff>99332</xdr:rowOff>
    </xdr:from>
    <xdr:to>
      <xdr:col>1</xdr:col>
      <xdr:colOff>609599</xdr:colOff>
      <xdr:row>38</xdr:row>
      <xdr:rowOff>176893</xdr:rowOff>
    </xdr:to>
    <mc:AlternateContent xmlns:mc="http://schemas.openxmlformats.org/markup-compatibility/2006" xmlns:a14="http://schemas.microsoft.com/office/drawing/2010/main">
      <mc:Choice Requires="a14">
        <xdr:graphicFrame macro="">
          <xdr:nvGraphicFramePr>
            <xdr:cNvPr id="9" name="Customer Segment">
              <a:extLst>
                <a:ext uri="{FF2B5EF4-FFF2-40B4-BE49-F238E27FC236}">
                  <a16:creationId xmlns:a16="http://schemas.microsoft.com/office/drawing/2014/main" id="{AB929128-B794-698B-D1A6-945EAF292F66}"/>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0" y="6385832"/>
              <a:ext cx="1820635" cy="1030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58512</xdr:rowOff>
    </xdr:from>
    <xdr:to>
      <xdr:col>1</xdr:col>
      <xdr:colOff>609599</xdr:colOff>
      <xdr:row>33</xdr:row>
      <xdr:rowOff>81644</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BED0E84F-8978-A3A0-8B1B-086C6F1D7D8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0" y="5011512"/>
              <a:ext cx="1820635" cy="1356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625927</xdr:colOff>
      <xdr:row>26</xdr:row>
      <xdr:rowOff>59873</xdr:rowOff>
    </xdr:from>
    <xdr:to>
      <xdr:col>2</xdr:col>
      <xdr:colOff>1492703</xdr:colOff>
      <xdr:row>33</xdr:row>
      <xdr:rowOff>83005</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D4889000-0B9A-B172-11A8-30A9B1F1D5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36963" y="5012873"/>
              <a:ext cx="1832883" cy="1356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625928</xdr:colOff>
      <xdr:row>33</xdr:row>
      <xdr:rowOff>99332</xdr:rowOff>
    </xdr:from>
    <xdr:to>
      <xdr:col>2</xdr:col>
      <xdr:colOff>1491343</xdr:colOff>
      <xdr:row>38</xdr:row>
      <xdr:rowOff>176893</xdr:rowOff>
    </xdr:to>
    <mc:AlternateContent xmlns:mc="http://schemas.openxmlformats.org/markup-compatibility/2006" xmlns:a14="http://schemas.microsoft.com/office/drawing/2010/main">
      <mc:Choice Requires="a14">
        <xdr:graphicFrame macro="">
          <xdr:nvGraphicFramePr>
            <xdr:cNvPr id="12" name="Product Type">
              <a:extLst>
                <a:ext uri="{FF2B5EF4-FFF2-40B4-BE49-F238E27FC236}">
                  <a16:creationId xmlns:a16="http://schemas.microsoft.com/office/drawing/2014/main" id="{89551694-74C6-AB95-0C88-3294635817C9}"/>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836964" y="6385832"/>
              <a:ext cx="1831522" cy="1030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0</xdr:rowOff>
    </xdr:from>
    <xdr:to>
      <xdr:col>1</xdr:col>
      <xdr:colOff>609599</xdr:colOff>
      <xdr:row>47</xdr:row>
      <xdr:rowOff>13607</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56D5ADCB-660F-0C26-067D-A6D3D6386A7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7429500"/>
              <a:ext cx="1820635" cy="1537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346981</xdr:colOff>
      <xdr:row>44</xdr:row>
      <xdr:rowOff>138792</xdr:rowOff>
    </xdr:from>
    <xdr:to>
      <xdr:col>9</xdr:col>
      <xdr:colOff>54429</xdr:colOff>
      <xdr:row>55</xdr:row>
      <xdr:rowOff>95250</xdr:rowOff>
    </xdr:to>
    <xdr:graphicFrame macro="">
      <xdr:nvGraphicFramePr>
        <xdr:cNvPr id="15" name="Chart 14">
          <a:extLst>
            <a:ext uri="{FF2B5EF4-FFF2-40B4-BE49-F238E27FC236}">
              <a16:creationId xmlns:a16="http://schemas.microsoft.com/office/drawing/2014/main" id="{09F3DDA6-D5CF-8789-D72A-D2889AF61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782411</xdr:colOff>
      <xdr:row>55</xdr:row>
      <xdr:rowOff>125187</xdr:rowOff>
    </xdr:from>
    <xdr:to>
      <xdr:col>8</xdr:col>
      <xdr:colOff>428626</xdr:colOff>
      <xdr:row>70</xdr:row>
      <xdr:rowOff>10887</xdr:rowOff>
    </xdr:to>
    <xdr:graphicFrame macro="">
      <xdr:nvGraphicFramePr>
        <xdr:cNvPr id="16" name="Chart 15">
          <a:extLst>
            <a:ext uri="{FF2B5EF4-FFF2-40B4-BE49-F238E27FC236}">
              <a16:creationId xmlns:a16="http://schemas.microsoft.com/office/drawing/2014/main" id="{F842D4A6-4BD9-0626-A17A-3E5481C1B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9524</xdr:rowOff>
    </xdr:from>
    <xdr:to>
      <xdr:col>26</xdr:col>
      <xdr:colOff>259773</xdr:colOff>
      <xdr:row>43</xdr:row>
      <xdr:rowOff>86591</xdr:rowOff>
    </xdr:to>
    <xdr:sp macro="" textlink="">
      <xdr:nvSpPr>
        <xdr:cNvPr id="2" name="Rectangle 1">
          <a:extLst>
            <a:ext uri="{FF2B5EF4-FFF2-40B4-BE49-F238E27FC236}">
              <a16:creationId xmlns:a16="http://schemas.microsoft.com/office/drawing/2014/main" id="{684B1C52-0441-1526-9C1C-F62C28566A0A}"/>
            </a:ext>
          </a:extLst>
        </xdr:cNvPr>
        <xdr:cNvSpPr/>
      </xdr:nvSpPr>
      <xdr:spPr>
        <a:xfrm>
          <a:off x="0" y="9524"/>
          <a:ext cx="16019318" cy="8476385"/>
        </a:xfrm>
        <a:prstGeom prst="rect">
          <a:avLst/>
        </a:prstGeom>
        <a:solidFill>
          <a:srgbClr val="12121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47622</xdr:colOff>
      <xdr:row>6</xdr:row>
      <xdr:rowOff>100853</xdr:rowOff>
    </xdr:from>
    <xdr:to>
      <xdr:col>26</xdr:col>
      <xdr:colOff>247649</xdr:colOff>
      <xdr:row>42</xdr:row>
      <xdr:rowOff>173182</xdr:rowOff>
    </xdr:to>
    <xdr:sp macro="" textlink="">
      <xdr:nvSpPr>
        <xdr:cNvPr id="9" name="Rectangle 8">
          <a:extLst>
            <a:ext uri="{FF2B5EF4-FFF2-40B4-BE49-F238E27FC236}">
              <a16:creationId xmlns:a16="http://schemas.microsoft.com/office/drawing/2014/main" id="{BA12E81E-C522-4849-BDE8-DBF402D357CA}"/>
            </a:ext>
          </a:extLst>
        </xdr:cNvPr>
        <xdr:cNvSpPr/>
      </xdr:nvSpPr>
      <xdr:spPr>
        <a:xfrm>
          <a:off x="13965328" y="1243853"/>
          <a:ext cx="2015380" cy="6930329"/>
        </a:xfrm>
        <a:prstGeom prst="rect">
          <a:avLst/>
        </a:prstGeom>
        <a:solidFill>
          <a:srgbClr val="F43F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a:p>
      </xdr:txBody>
    </xdr:sp>
    <xdr:clientData/>
  </xdr:twoCellAnchor>
  <xdr:twoCellAnchor>
    <xdr:from>
      <xdr:col>0</xdr:col>
      <xdr:colOff>71436</xdr:colOff>
      <xdr:row>17</xdr:row>
      <xdr:rowOff>144757</xdr:rowOff>
    </xdr:from>
    <xdr:to>
      <xdr:col>7</xdr:col>
      <xdr:colOff>193901</xdr:colOff>
      <xdr:row>42</xdr:row>
      <xdr:rowOff>165386</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50F1F68-75F1-4698-9158-B201ECDED5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436" y="3592807"/>
              <a:ext cx="4389665" cy="47831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557676</xdr:colOff>
      <xdr:row>17</xdr:row>
      <xdr:rowOff>147154</xdr:rowOff>
    </xdr:from>
    <xdr:to>
      <xdr:col>15</xdr:col>
      <xdr:colOff>64480</xdr:colOff>
      <xdr:row>42</xdr:row>
      <xdr:rowOff>162988</xdr:rowOff>
    </xdr:to>
    <xdr:graphicFrame macro="">
      <xdr:nvGraphicFramePr>
        <xdr:cNvPr id="6" name="Chart 5">
          <a:extLst>
            <a:ext uri="{FF2B5EF4-FFF2-40B4-BE49-F238E27FC236}">
              <a16:creationId xmlns:a16="http://schemas.microsoft.com/office/drawing/2014/main" id="{615CA72F-2175-4C18-8895-47155A9C5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428254</xdr:colOff>
      <xdr:row>17</xdr:row>
      <xdr:rowOff>145165</xdr:rowOff>
    </xdr:from>
    <xdr:to>
      <xdr:col>22</xdr:col>
      <xdr:colOff>550719</xdr:colOff>
      <xdr:row>42</xdr:row>
      <xdr:rowOff>164977</xdr:rowOff>
    </xdr:to>
    <xdr:graphicFrame macro="">
      <xdr:nvGraphicFramePr>
        <xdr:cNvPr id="4" name="Chart 3">
          <a:extLst>
            <a:ext uri="{FF2B5EF4-FFF2-40B4-BE49-F238E27FC236}">
              <a16:creationId xmlns:a16="http://schemas.microsoft.com/office/drawing/2014/main" id="{688BBE4B-BAEC-425E-833C-6B065CF4E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26</xdr:col>
      <xdr:colOff>242455</xdr:colOff>
      <xdr:row>6</xdr:row>
      <xdr:rowOff>57150</xdr:rowOff>
    </xdr:to>
    <xdr:sp macro="" textlink="">
      <xdr:nvSpPr>
        <xdr:cNvPr id="3" name="Rectangle: Diagonal Corners Snipped 2">
          <a:extLst>
            <a:ext uri="{FF2B5EF4-FFF2-40B4-BE49-F238E27FC236}">
              <a16:creationId xmlns:a16="http://schemas.microsoft.com/office/drawing/2014/main" id="{E5F2B128-BA7F-31F4-34D5-BD95F961B860}"/>
            </a:ext>
          </a:extLst>
        </xdr:cNvPr>
        <xdr:cNvSpPr/>
      </xdr:nvSpPr>
      <xdr:spPr>
        <a:xfrm>
          <a:off x="0" y="0"/>
          <a:ext cx="15975514" cy="1200150"/>
        </a:xfrm>
        <a:prstGeom prst="snip2DiagRect">
          <a:avLst/>
        </a:prstGeom>
        <a:solidFill>
          <a:srgbClr val="F43F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Monthly Sales</a:t>
          </a:r>
        </a:p>
        <a:p>
          <a:pPr algn="l"/>
          <a:r>
            <a:rPr lang="en-US" sz="2400"/>
            <a:t>From</a:t>
          </a:r>
          <a:r>
            <a:rPr lang="en-US" sz="2400" baseline="0"/>
            <a:t> Jun to May</a:t>
          </a:r>
          <a:endParaRPr lang="en-US" sz="2400"/>
        </a:p>
      </xdr:txBody>
    </xdr:sp>
    <xdr:clientData/>
  </xdr:twoCellAnchor>
  <xdr:twoCellAnchor editAs="oneCell">
    <xdr:from>
      <xdr:col>23</xdr:col>
      <xdr:colOff>156906</xdr:colOff>
      <xdr:row>15</xdr:row>
      <xdr:rowOff>111143</xdr:rowOff>
    </xdr:from>
    <xdr:to>
      <xdr:col>26</xdr:col>
      <xdr:colOff>155545</xdr:colOff>
      <xdr:row>22</xdr:row>
      <xdr:rowOff>134275</xdr:rowOff>
    </xdr:to>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9A843085-12F9-40D4-9915-E5BBFAA08A4C}"/>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4396781" y="3182956"/>
              <a:ext cx="1856014" cy="1356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167792</xdr:colOff>
      <xdr:row>23</xdr:row>
      <xdr:rowOff>41313</xdr:rowOff>
    </xdr:from>
    <xdr:to>
      <xdr:col>26</xdr:col>
      <xdr:colOff>144660</xdr:colOff>
      <xdr:row>30</xdr:row>
      <xdr:rowOff>64445</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95EE365F-7427-4146-A369-607D88562B8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407667" y="4637126"/>
              <a:ext cx="1834243" cy="1356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174596</xdr:colOff>
      <xdr:row>30</xdr:row>
      <xdr:rowOff>161983</xdr:rowOff>
    </xdr:from>
    <xdr:to>
      <xdr:col>26</xdr:col>
      <xdr:colOff>137856</xdr:colOff>
      <xdr:row>36</xdr:row>
      <xdr:rowOff>49044</xdr:rowOff>
    </xdr:to>
    <mc:AlternateContent xmlns:mc="http://schemas.openxmlformats.org/markup-compatibility/2006" xmlns:a14="http://schemas.microsoft.com/office/drawing/2010/main">
      <mc:Choice Requires="a14">
        <xdr:graphicFrame macro="">
          <xdr:nvGraphicFramePr>
            <xdr:cNvPr id="10" name="Customer Segment 1">
              <a:extLst>
                <a:ext uri="{FF2B5EF4-FFF2-40B4-BE49-F238E27FC236}">
                  <a16:creationId xmlns:a16="http://schemas.microsoft.com/office/drawing/2014/main" id="{53B98AB3-08E7-40A0-BB8C-2A6FFEE658DA}"/>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4414471" y="6091296"/>
              <a:ext cx="1820635" cy="1030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169152</xdr:colOff>
      <xdr:row>36</xdr:row>
      <xdr:rowOff>146581</xdr:rowOff>
    </xdr:from>
    <xdr:to>
      <xdr:col>26</xdr:col>
      <xdr:colOff>143299</xdr:colOff>
      <xdr:row>42</xdr:row>
      <xdr:rowOff>33642</xdr:rowOff>
    </xdr:to>
    <mc:AlternateContent xmlns:mc="http://schemas.openxmlformats.org/markup-compatibility/2006" xmlns:a14="http://schemas.microsoft.com/office/drawing/2010/main">
      <mc:Choice Requires="a14">
        <xdr:graphicFrame macro="">
          <xdr:nvGraphicFramePr>
            <xdr:cNvPr id="11" name="Product Type 1">
              <a:extLst>
                <a:ext uri="{FF2B5EF4-FFF2-40B4-BE49-F238E27FC236}">
                  <a16:creationId xmlns:a16="http://schemas.microsoft.com/office/drawing/2014/main" id="{79A6F239-7845-4B7A-92A7-F3872A4F1806}"/>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14409027" y="7218894"/>
              <a:ext cx="1831522" cy="1030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164390</xdr:colOff>
      <xdr:row>6</xdr:row>
      <xdr:rowOff>190498</xdr:rowOff>
    </xdr:from>
    <xdr:to>
      <xdr:col>26</xdr:col>
      <xdr:colOff>148061</xdr:colOff>
      <xdr:row>14</xdr:row>
      <xdr:rowOff>175581</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5EF03C64-3E1B-4AE1-91A1-0646FD20AF5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404265" y="1333498"/>
              <a:ext cx="1841046" cy="1544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242458</xdr:colOff>
      <xdr:row>7</xdr:row>
      <xdr:rowOff>20285</xdr:rowOff>
    </xdr:from>
    <xdr:to>
      <xdr:col>22</xdr:col>
      <xdr:colOff>559760</xdr:colOff>
      <xdr:row>15</xdr:row>
      <xdr:rowOff>176893</xdr:rowOff>
    </xdr:to>
    <xdr:sp macro="" textlink="">
      <xdr:nvSpPr>
        <xdr:cNvPr id="15" name="Rectangle: Rounded Corners 14">
          <a:extLst>
            <a:ext uri="{FF2B5EF4-FFF2-40B4-BE49-F238E27FC236}">
              <a16:creationId xmlns:a16="http://schemas.microsoft.com/office/drawing/2014/main" id="{7884683F-A645-2407-2292-92EF64C49EC9}"/>
            </a:ext>
          </a:extLst>
        </xdr:cNvPr>
        <xdr:cNvSpPr/>
      </xdr:nvSpPr>
      <xdr:spPr>
        <a:xfrm>
          <a:off x="9940640" y="1353785"/>
          <a:ext cx="3954120" cy="1888426"/>
        </a:xfrm>
        <a:prstGeom prst="roundRect">
          <a:avLst/>
        </a:prstGeom>
        <a:solidFill>
          <a:srgbClr val="1E1E1E"/>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293941</xdr:colOff>
      <xdr:row>9</xdr:row>
      <xdr:rowOff>61079</xdr:rowOff>
    </xdr:from>
    <xdr:to>
      <xdr:col>20</xdr:col>
      <xdr:colOff>384710</xdr:colOff>
      <xdr:row>16</xdr:row>
      <xdr:rowOff>142390</xdr:rowOff>
    </xdr:to>
    <xdr:graphicFrame macro="">
      <xdr:nvGraphicFramePr>
        <xdr:cNvPr id="14" name="Chart 13">
          <a:extLst>
            <a:ext uri="{FF2B5EF4-FFF2-40B4-BE49-F238E27FC236}">
              <a16:creationId xmlns:a16="http://schemas.microsoft.com/office/drawing/2014/main" id="{CD4A7E5A-AA08-4097-B6BA-394CE4223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458789</xdr:colOff>
      <xdr:row>9</xdr:row>
      <xdr:rowOff>61495</xdr:rowOff>
    </xdr:from>
    <xdr:to>
      <xdr:col>23</xdr:col>
      <xdr:colOff>372198</xdr:colOff>
      <xdr:row>16</xdr:row>
      <xdr:rowOff>141973</xdr:rowOff>
    </xdr:to>
    <xdr:graphicFrame macro="">
      <xdr:nvGraphicFramePr>
        <xdr:cNvPr id="13" name="Chart 12">
          <a:extLst>
            <a:ext uri="{FF2B5EF4-FFF2-40B4-BE49-F238E27FC236}">
              <a16:creationId xmlns:a16="http://schemas.microsoft.com/office/drawing/2014/main" id="{9151374C-F791-4D2C-BDD0-253BE0FD8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165330</xdr:colOff>
      <xdr:row>7</xdr:row>
      <xdr:rowOff>20285</xdr:rowOff>
    </xdr:from>
    <xdr:to>
      <xdr:col>14</xdr:col>
      <xdr:colOff>478790</xdr:colOff>
      <xdr:row>15</xdr:row>
      <xdr:rowOff>176893</xdr:rowOff>
    </xdr:to>
    <xdr:sp macro="" textlink="PivotTable!J$3">
      <xdr:nvSpPr>
        <xdr:cNvPr id="16" name="Rectangle: Rounded Corners 15">
          <a:extLst>
            <a:ext uri="{FF2B5EF4-FFF2-40B4-BE49-F238E27FC236}">
              <a16:creationId xmlns:a16="http://schemas.microsoft.com/office/drawing/2014/main" id="{FA528AC2-205F-452C-A85C-3A0318F3E6F9}"/>
            </a:ext>
          </a:extLst>
        </xdr:cNvPr>
        <xdr:cNvSpPr/>
      </xdr:nvSpPr>
      <xdr:spPr>
        <a:xfrm>
          <a:off x="5063901" y="1353785"/>
          <a:ext cx="3987389" cy="1680608"/>
        </a:xfrm>
        <a:prstGeom prst="roundRect">
          <a:avLst/>
        </a:prstGeom>
        <a:solidFill>
          <a:srgbClr val="1E1E1E"/>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80BD41D-73FD-428F-8F0C-01D6CB4B42C5}" type="TxLink">
            <a:rPr lang="en-US" sz="2800" b="0" i="0" u="none" strike="noStrike">
              <a:solidFill>
                <a:schemeClr val="bg1"/>
              </a:solidFill>
              <a:latin typeface="Calibri"/>
              <a:cs typeface="Calibri"/>
            </a:rPr>
            <a:pPr algn="l"/>
            <a:t>Total Sales</a:t>
          </a:fld>
          <a:endParaRPr lang="en-US" sz="2800">
            <a:solidFill>
              <a:schemeClr val="bg1"/>
            </a:solidFill>
          </a:endParaRPr>
        </a:p>
      </xdr:txBody>
    </xdr:sp>
    <xdr:clientData/>
  </xdr:twoCellAnchor>
  <xdr:twoCellAnchor>
    <xdr:from>
      <xdr:col>8</xdr:col>
      <xdr:colOff>588818</xdr:colOff>
      <xdr:row>11</xdr:row>
      <xdr:rowOff>182143</xdr:rowOff>
    </xdr:from>
    <xdr:to>
      <xdr:col>13</xdr:col>
      <xdr:colOff>588818</xdr:colOff>
      <xdr:row>14</xdr:row>
      <xdr:rowOff>8961</xdr:rowOff>
    </xdr:to>
    <xdr:sp macro="" textlink="PivotTable!J4">
      <xdr:nvSpPr>
        <xdr:cNvPr id="17" name="TextBox 16">
          <a:extLst>
            <a:ext uri="{FF2B5EF4-FFF2-40B4-BE49-F238E27FC236}">
              <a16:creationId xmlns:a16="http://schemas.microsoft.com/office/drawing/2014/main" id="{8D7122C8-B753-357F-059E-01EE71FE0244}"/>
            </a:ext>
          </a:extLst>
        </xdr:cNvPr>
        <xdr:cNvSpPr txBox="1"/>
      </xdr:nvSpPr>
      <xdr:spPr>
        <a:xfrm>
          <a:off x="5437909" y="2312279"/>
          <a:ext cx="3030682" cy="398318"/>
        </a:xfrm>
        <a:prstGeom prst="rect">
          <a:avLst/>
        </a:prstGeom>
        <a:solidFill>
          <a:srgbClr val="1E1E1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7FCA50-3869-4EB5-93E7-7113C1560D8C}" type="TxLink">
            <a:rPr lang="en-US" sz="2800" b="0" i="0" u="none" strike="noStrike">
              <a:solidFill>
                <a:schemeClr val="bg1"/>
              </a:solidFill>
              <a:latin typeface="Calibri"/>
              <a:cs typeface="Calibri"/>
            </a:rPr>
            <a:pPr algn="ctr"/>
            <a:t>203600</a:t>
          </a:fld>
          <a:endParaRPr lang="en-US" sz="2800">
            <a:solidFill>
              <a:schemeClr val="bg1"/>
            </a:solidFill>
          </a:endParaRPr>
        </a:p>
      </xdr:txBody>
    </xdr:sp>
    <xdr:clientData/>
  </xdr:twoCellAnchor>
  <xdr:twoCellAnchor>
    <xdr:from>
      <xdr:col>0</xdr:col>
      <xdr:colOff>64508</xdr:colOff>
      <xdr:row>7</xdr:row>
      <xdr:rowOff>20285</xdr:rowOff>
    </xdr:from>
    <xdr:to>
      <xdr:col>6</xdr:col>
      <xdr:colOff>363562</xdr:colOff>
      <xdr:row>15</xdr:row>
      <xdr:rowOff>176893</xdr:rowOff>
    </xdr:to>
    <xdr:sp macro="" textlink="PivotTable!J$6">
      <xdr:nvSpPr>
        <xdr:cNvPr id="18" name="Rectangle: Rounded Corners 17">
          <a:extLst>
            <a:ext uri="{FF2B5EF4-FFF2-40B4-BE49-F238E27FC236}">
              <a16:creationId xmlns:a16="http://schemas.microsoft.com/office/drawing/2014/main" id="{0780FCDE-73F6-4129-96FE-372F5563CB3E}"/>
            </a:ext>
          </a:extLst>
        </xdr:cNvPr>
        <xdr:cNvSpPr/>
      </xdr:nvSpPr>
      <xdr:spPr>
        <a:xfrm>
          <a:off x="64508" y="1353785"/>
          <a:ext cx="3972983" cy="1680608"/>
        </a:xfrm>
        <a:prstGeom prst="roundRect">
          <a:avLst/>
        </a:prstGeom>
        <a:solidFill>
          <a:srgbClr val="1E1E1E"/>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3F3CBD8-6DDD-48E1-A8B8-4B52EB6EBE89}" type="TxLink">
            <a:rPr lang="en-US" sz="2800" b="0" i="0" u="none" strike="noStrike">
              <a:solidFill>
                <a:schemeClr val="bg1"/>
              </a:solidFill>
              <a:latin typeface="Calibri"/>
              <a:ea typeface="+mn-ea"/>
              <a:cs typeface="Calibri"/>
            </a:rPr>
            <a:pPr marL="0" indent="0" algn="l"/>
            <a:t>Average Sales</a:t>
          </a:fld>
          <a:endParaRPr lang="en-US" sz="2800" b="0" i="0" u="none" strike="noStrike">
            <a:solidFill>
              <a:schemeClr val="bg1"/>
            </a:solidFill>
            <a:latin typeface="Calibri"/>
            <a:ea typeface="+mn-ea"/>
            <a:cs typeface="Calibri"/>
          </a:endParaRPr>
        </a:p>
      </xdr:txBody>
    </xdr:sp>
    <xdr:clientData/>
  </xdr:twoCellAnchor>
  <xdr:twoCellAnchor>
    <xdr:from>
      <xdr:col>0</xdr:col>
      <xdr:colOff>587517</xdr:colOff>
      <xdr:row>11</xdr:row>
      <xdr:rowOff>182143</xdr:rowOff>
    </xdr:from>
    <xdr:to>
      <xdr:col>5</xdr:col>
      <xdr:colOff>587517</xdr:colOff>
      <xdr:row>14</xdr:row>
      <xdr:rowOff>8961</xdr:rowOff>
    </xdr:to>
    <xdr:sp macro="" textlink="PivotTable!J7">
      <xdr:nvSpPr>
        <xdr:cNvPr id="19" name="TextBox 18">
          <a:extLst>
            <a:ext uri="{FF2B5EF4-FFF2-40B4-BE49-F238E27FC236}">
              <a16:creationId xmlns:a16="http://schemas.microsoft.com/office/drawing/2014/main" id="{6A1370AB-C23C-4A02-A386-8D261D598425}"/>
            </a:ext>
          </a:extLst>
        </xdr:cNvPr>
        <xdr:cNvSpPr txBox="1"/>
      </xdr:nvSpPr>
      <xdr:spPr>
        <a:xfrm>
          <a:off x="587517" y="2312279"/>
          <a:ext cx="3030682" cy="398318"/>
        </a:xfrm>
        <a:prstGeom prst="rect">
          <a:avLst/>
        </a:prstGeom>
        <a:solidFill>
          <a:srgbClr val="1E1E1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61A44E6-674B-4331-9976-DA1878CD0F58}" type="TxLink">
            <a:rPr lang="en-US" sz="2800" b="0" i="0" u="none" strike="noStrike">
              <a:solidFill>
                <a:schemeClr val="bg1"/>
              </a:solidFill>
              <a:latin typeface="Calibri"/>
              <a:ea typeface="+mn-ea"/>
              <a:cs typeface="Calibri"/>
            </a:rPr>
            <a:pPr marL="0" indent="0" algn="ctr"/>
            <a:t>5090</a:t>
          </a:fld>
          <a:endParaRPr lang="en-US" sz="2800" b="0" i="0" u="none" strike="noStrike">
            <a:solidFill>
              <a:schemeClr val="bg1"/>
            </a:solidFill>
            <a:latin typeface="Calibri"/>
            <a:ea typeface="+mn-ea"/>
            <a:cs typeface="Calibri"/>
          </a:endParaRPr>
        </a:p>
      </xdr:txBody>
    </xdr:sp>
    <xdr:clientData/>
  </xdr:twoCellAnchor>
  <xdr:twoCellAnchor>
    <xdr:from>
      <xdr:col>16</xdr:col>
      <xdr:colOff>270438</xdr:colOff>
      <xdr:row>7</xdr:row>
      <xdr:rowOff>95573</xdr:rowOff>
    </xdr:from>
    <xdr:to>
      <xdr:col>23</xdr:col>
      <xdr:colOff>337673</xdr:colOff>
      <xdr:row>9</xdr:row>
      <xdr:rowOff>129191</xdr:rowOff>
    </xdr:to>
    <xdr:sp macro="" textlink="">
      <xdr:nvSpPr>
        <xdr:cNvPr id="20" name="TextBox 19">
          <a:extLst>
            <a:ext uri="{FF2B5EF4-FFF2-40B4-BE49-F238E27FC236}">
              <a16:creationId xmlns:a16="http://schemas.microsoft.com/office/drawing/2014/main" id="{6B400C20-474E-EFEE-8045-6850B1D79986}"/>
            </a:ext>
          </a:extLst>
        </xdr:cNvPr>
        <xdr:cNvSpPr txBox="1"/>
      </xdr:nvSpPr>
      <xdr:spPr>
        <a:xfrm>
          <a:off x="9968620" y="1429073"/>
          <a:ext cx="4310189"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600" b="0" i="0" u="none" strike="noStrike">
              <a:solidFill>
                <a:schemeClr val="bg1"/>
              </a:solidFill>
              <a:latin typeface="Calibri"/>
              <a:ea typeface="+mn-ea"/>
              <a:cs typeface="Calibri"/>
            </a:rPr>
            <a:t>Performance Extremes	</a:t>
          </a:r>
        </a:p>
      </xdr:txBody>
    </xdr:sp>
    <xdr:clientData/>
  </xdr:twoCellAnchor>
  <xdr:twoCellAnchor editAs="oneCell">
    <xdr:from>
      <xdr:col>13</xdr:col>
      <xdr:colOff>287277</xdr:colOff>
      <xdr:row>7</xdr:row>
      <xdr:rowOff>42144</xdr:rowOff>
    </xdr:from>
    <xdr:to>
      <xdr:col>14</xdr:col>
      <xdr:colOff>347387</xdr:colOff>
      <xdr:row>10</xdr:row>
      <xdr:rowOff>122228</xdr:rowOff>
    </xdr:to>
    <xdr:pic>
      <xdr:nvPicPr>
        <xdr:cNvPr id="24" name="Graphic 23" descr="Bank outline">
          <a:extLst>
            <a:ext uri="{FF2B5EF4-FFF2-40B4-BE49-F238E27FC236}">
              <a16:creationId xmlns:a16="http://schemas.microsoft.com/office/drawing/2014/main" id="{56142974-A913-DBE2-AE54-F06FB1392A8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153806" y="1375644"/>
          <a:ext cx="665228" cy="685202"/>
        </a:xfrm>
        <a:prstGeom prst="rect">
          <a:avLst/>
        </a:prstGeom>
      </xdr:spPr>
    </xdr:pic>
    <xdr:clientData/>
  </xdr:twoCellAnchor>
  <xdr:twoCellAnchor editAs="oneCell">
    <xdr:from>
      <xdr:col>21</xdr:col>
      <xdr:colOff>474917</xdr:colOff>
      <xdr:row>7</xdr:row>
      <xdr:rowOff>68255</xdr:rowOff>
    </xdr:from>
    <xdr:to>
      <xdr:col>22</xdr:col>
      <xdr:colOff>432164</xdr:colOff>
      <xdr:row>10</xdr:row>
      <xdr:rowOff>34637</xdr:rowOff>
    </xdr:to>
    <xdr:pic>
      <xdr:nvPicPr>
        <xdr:cNvPr id="22" name="Graphic 21" descr="Checklist outline">
          <a:extLst>
            <a:ext uri="{FF2B5EF4-FFF2-40B4-BE49-F238E27FC236}">
              <a16:creationId xmlns:a16="http://schemas.microsoft.com/office/drawing/2014/main" id="{3DD7D668-7F77-D483-0729-EBF8D42172C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245744" y="1401755"/>
          <a:ext cx="565382" cy="567190"/>
        </a:xfrm>
        <a:prstGeom prst="rect">
          <a:avLst/>
        </a:prstGeom>
      </xdr:spPr>
    </xdr:pic>
    <xdr:clientData/>
  </xdr:twoCellAnchor>
  <xdr:twoCellAnchor editAs="oneCell">
    <xdr:from>
      <xdr:col>5</xdr:col>
      <xdr:colOff>155863</xdr:colOff>
      <xdr:row>7</xdr:row>
      <xdr:rowOff>86592</xdr:rowOff>
    </xdr:from>
    <xdr:to>
      <xdr:col>6</xdr:col>
      <xdr:colOff>138545</xdr:colOff>
      <xdr:row>10</xdr:row>
      <xdr:rowOff>69274</xdr:rowOff>
    </xdr:to>
    <xdr:pic>
      <xdr:nvPicPr>
        <xdr:cNvPr id="28" name="Picture 27">
          <a:extLst>
            <a:ext uri="{FF2B5EF4-FFF2-40B4-BE49-F238E27FC236}">
              <a16:creationId xmlns:a16="http://schemas.microsoft.com/office/drawing/2014/main" id="{20CEDEDF-44EE-B11F-B98E-D9E538E429E9}"/>
            </a:ext>
          </a:extLst>
        </xdr:cNvPr>
        <xdr:cNvPicPr>
          <a:picLocks noChangeAspect="1"/>
        </xdr:cNvPicPr>
      </xdr:nvPicPr>
      <xdr:blipFill>
        <a:blip xmlns:r="http://schemas.openxmlformats.org/officeDocument/2006/relationships" r:embed="rId10" cstate="print">
          <a:duotone>
            <a:prstClr val="black"/>
            <a:srgbClr val="94A3B8">
              <a:tint val="45000"/>
              <a:satMod val="400000"/>
            </a:srgbClr>
          </a:duotone>
          <a:extLst>
            <a:ext uri="{28A0092B-C50C-407E-A947-70E740481C1C}">
              <a14:useLocalDpi xmlns:a14="http://schemas.microsoft.com/office/drawing/2010/main" val="0"/>
            </a:ext>
          </a:extLst>
        </a:blip>
        <a:stretch>
          <a:fillRect/>
        </a:stretch>
      </xdr:blipFill>
      <xdr:spPr>
        <a:xfrm>
          <a:off x="3186545" y="1420092"/>
          <a:ext cx="588818" cy="58881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777721296297" backgroundQuery="1" createdVersion="8" refreshedVersion="8" minRefreshableVersion="3" recordCount="0" supportSubquery="1" supportAdvancedDrill="1" xr:uid="{7BC6E396-7DA9-464D-8567-D9D3371BA536}">
  <cacheSource type="external" connectionId="3"/>
  <cacheFields count="8">
    <cacheField name="[Calendar].[Month].[Month]" caption="Month" numFmtId="0" hierarchy="4" level="1">
      <sharedItems count="3">
        <s v="February"/>
        <s v="March"/>
        <s v="April"/>
      </sharedItems>
    </cacheField>
    <cacheField name="[Measures].[Total Sales]" caption="Total Sales" numFmtId="0" hierarchy="15" level="32767"/>
    <cacheField name="[Measures].[Sales Previous Month]" caption="Sales Previous Month" numFmtId="0" hierarchy="16" level="32767"/>
    <cacheField name="[Measures].[Growth]" caption="Growth" numFmtId="0" hierarchy="1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Customer Segment].[Customer Segment]" caption="Customer Segment" numFmtId="0" hierarchy="12" level="1">
      <sharedItems containsSemiMixedTypes="0" containsNonDate="0" containsString="0"/>
    </cacheField>
  </cacheFields>
  <cacheHierarchies count="2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Salesperson]" caption="Salesperson" attribute="1" defaultMemberUniqueName="[Data].[Salesperson].[All]" allUniqueName="[Data].[Salesperson].[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2" memberValueDatatype="130" unbalanced="0">
      <fieldsUsage count="2">
        <fieldUsage x="-1"/>
        <fieldUsage x="7"/>
      </fieldsUsage>
    </cacheHierarchy>
    <cacheHierarchy uniqueName="[Data].[Product Type]" caption="Product Type" attribute="1" defaultMemberUniqueName="[Data].[Product Type].[All]" allUniqueName="[Data].[Product Type].[All]" dimensionUniqueName="[Data]" displayFolder="" count="0" memberValueDatatype="130" unbalanced="0"/>
    <cacheHierarchy uniqueName="[Data].[Sales Amount]" caption="Sales Amount" attribute="1" defaultMemberUniqueName="[Data].[Sales Amount].[All]" allUniqueName="[Data].[Sales Amount].[All]" dimensionUniqueName="[Data]" displayFolder="" count="0" memberValueDatatype="20" unbalanced="0"/>
    <cacheHierarchy uniqueName="[Measures].[Total Sales]" caption="Total Sales" measure="1" displayFolder="" measureGroup="Data" count="0" oneField="1">
      <fieldsUsage count="1">
        <fieldUsage x="1"/>
      </fieldsUsage>
    </cacheHierarchy>
    <cacheHierarchy uniqueName="[Measures].[Sales Previous Month]" caption="Sales Previous Month" measure="1" displayFolder="" measureGroup="Data" count="0" oneField="1">
      <fieldsUsage count="1">
        <fieldUsage x="2"/>
      </fieldsUsage>
    </cacheHierarchy>
    <cacheHierarchy uniqueName="[Measures].[Growth]" caption="Growth" measure="1" displayFolder="" measureGroup="Data" count="0" oneField="1">
      <fieldsUsage count="1">
        <fieldUsage x="3"/>
      </fieldsUsage>
    </cacheHierarchy>
    <cacheHierarchy uniqueName="[Measures].[Difference between Months]" caption="Difference between Months"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Amount]" caption="Sum of Sales Amount" measure="1" displayFolder="" measureGroup="Data"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Data" count="0" hidden="1">
      <extLst>
        <ext xmlns:x15="http://schemas.microsoft.com/office/spreadsheetml/2010/11/main" uri="{B97F6D7D-B522-45F9-BDA1-12C45D357490}">
          <x15:cacheHierarchy aggregatedColumn="9"/>
        </ext>
      </extLst>
    </cacheHierarchy>
    <cacheHierarchy uniqueName="[Measures].[Count of Region]" caption="Count of Region" measure="1" displayFolder="" measureGroup="Data" count="0" hidden="1">
      <extLst>
        <ext xmlns:x15="http://schemas.microsoft.com/office/spreadsheetml/2010/11/main" uri="{B97F6D7D-B522-45F9-BDA1-12C45D357490}">
          <x15:cacheHierarchy aggregatedColumn="10"/>
        </ext>
      </extLst>
    </cacheHierarchy>
    <cacheHierarchy uniqueName="[Measures].[Average of Sales Amount]" caption="Average of Sales Amount"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777721990744" backgroundQuery="1" createdVersion="8" refreshedVersion="8" minRefreshableVersion="3" recordCount="0" supportSubquery="1" supportAdvancedDrill="1" xr:uid="{8554E431-45CF-496F-853F-EDD423ABA1C3}">
  <cacheSource type="external" connectionId="3"/>
  <cacheFields count="6">
    <cacheField name="[Data].[Salesperson].[Salesperson]" caption="Salesperson" numFmtId="0" hierarchy="11" level="1">
      <sharedItems count="6">
        <s v="David"/>
        <s v="Emily"/>
        <s v="James"/>
        <s v="John"/>
        <s v="Lisa"/>
        <s v="Michael"/>
      </sharedItems>
    </cacheField>
    <cacheField name="[Measures].[Total Sales]" caption="Total Sales" numFmtId="0" hierarchy="1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Customer Segment].[Customer Segment]" caption="Customer Segment" numFmtId="0" hierarchy="12" level="1">
      <sharedItems containsSemiMixedTypes="0" containsNonDate="0" containsString="0"/>
    </cacheField>
  </cacheFields>
  <cacheHierarchies count="2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0"/>
      </fieldsUsage>
    </cacheHierarchy>
    <cacheHierarchy uniqueName="[Data].[Customer Segment]" caption="Customer Segment" attribute="1" defaultMemberUniqueName="[Data].[Customer Segment].[All]" allUniqueName="[Data].[Customer Segment].[All]" dimensionUniqueName="[Data]" displayFolder="" count="2" memberValueDatatype="130" unbalanced="0">
      <fieldsUsage count="2">
        <fieldUsage x="-1"/>
        <fieldUsage x="5"/>
      </fieldsUsage>
    </cacheHierarchy>
    <cacheHierarchy uniqueName="[Data].[Product Type]" caption="Product Type" attribute="1" defaultMemberUniqueName="[Data].[Product Type].[All]" allUniqueName="[Data].[Product Type].[All]" dimensionUniqueName="[Data]" displayFolder="" count="0" memberValueDatatype="130" unbalanced="0"/>
    <cacheHierarchy uniqueName="[Data].[Sales Amount]" caption="Sales Amount" attribute="1" defaultMemberUniqueName="[Data].[Sales Amount].[All]" allUniqueName="[Data].[Sales Amount].[All]" dimensionUniqueName="[Data]" displayFolder="" count="0" memberValueDatatype="20" unbalanced="0"/>
    <cacheHierarchy uniqueName="[Measures].[Total Sales]" caption="Total Sales" measure="1" displayFolder="" measureGroup="Data" count="0" oneField="1">
      <fieldsUsage count="1">
        <fieldUsage x="1"/>
      </fieldsUsage>
    </cacheHierarchy>
    <cacheHierarchy uniqueName="[Measures].[Sales Previous Month]" caption="Sales Previous Month" measure="1" displayFolder="" measureGroup="Data" count="0"/>
    <cacheHierarchy uniqueName="[Measures].[Growth]" caption="Growth" measure="1" displayFolder="" measureGroup="Data" count="0"/>
    <cacheHierarchy uniqueName="[Measures].[Difference between Months]" caption="Difference between Months"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Amount]" caption="Sum of Sales Amount" measure="1" displayFolder="" measureGroup="Data"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Data" count="0" hidden="1">
      <extLst>
        <ext xmlns:x15="http://schemas.microsoft.com/office/spreadsheetml/2010/11/main" uri="{B97F6D7D-B522-45F9-BDA1-12C45D357490}">
          <x15:cacheHierarchy aggregatedColumn="9"/>
        </ext>
      </extLst>
    </cacheHierarchy>
    <cacheHierarchy uniqueName="[Measures].[Count of Region]" caption="Count of Region" measure="1" displayFolder="" measureGroup="Data" count="0" hidden="1">
      <extLst>
        <ext xmlns:x15="http://schemas.microsoft.com/office/spreadsheetml/2010/11/main" uri="{B97F6D7D-B522-45F9-BDA1-12C45D357490}">
          <x15:cacheHierarchy aggregatedColumn="10"/>
        </ext>
      </extLst>
    </cacheHierarchy>
    <cacheHierarchy uniqueName="[Measures].[Average of Sales Amount]" caption="Average of Sales Amount"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77772233796" backgroundQuery="1" createdVersion="8" refreshedVersion="8" minRefreshableVersion="3" recordCount="0" supportSubquery="1" supportAdvancedDrill="1" xr:uid="{7226C1E6-6AA1-43FD-BFDB-3E9D2FDDE52B}">
  <cacheSource type="external" connectionId="3"/>
  <cacheFields count="3">
    <cacheField name="[Calendar].[Month].[Month]" caption="Month" numFmtId="0" hierarchy="4" level="1">
      <sharedItems count="5">
        <s v="January"/>
        <s v="February"/>
        <s v="March"/>
        <s v="April"/>
        <s v="May"/>
      </sharedItems>
    </cacheField>
    <cacheField name="[Measures].[Difference between Months]" caption="Difference between Months" numFmtId="0" hierarchy="18" level="32767"/>
    <cacheField name="[Data].[Customer Segment].[Customer Segment]" caption="Customer Segment" numFmtId="0" hierarchy="12" level="1">
      <sharedItems containsSemiMixedTypes="0" containsNonDate="0" containsString="0"/>
    </cacheField>
  </cacheFields>
  <cacheHierarchies count="2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Salesperson]" caption="Salesperson" attribute="1" defaultMemberUniqueName="[Data].[Salesperson].[All]" allUniqueName="[Data].[Salesperson].[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2" memberValueDatatype="130" unbalanced="0">
      <fieldsUsage count="2">
        <fieldUsage x="-1"/>
        <fieldUsage x="2"/>
      </fieldsUsage>
    </cacheHierarchy>
    <cacheHierarchy uniqueName="[Data].[Product Type]" caption="Product Type" attribute="1" defaultMemberUniqueName="[Data].[Product Type].[All]" allUniqueName="[Data].[Product Type].[All]" dimensionUniqueName="[Data]" displayFolder="" count="0" memberValueDatatype="130" unbalanced="0"/>
    <cacheHierarchy uniqueName="[Data].[Sales Amount]" caption="Sales Amount" attribute="1" defaultMemberUniqueName="[Data].[Sales Amount].[All]" allUniqueName="[Data].[Sales Amount].[All]" dimensionUniqueName="[Data]" displayFolder="" count="0" memberValueDatatype="20" unbalanced="0"/>
    <cacheHierarchy uniqueName="[Measures].[Total Sales]" caption="Total Sales" measure="1" displayFolder="" measureGroup="Data" count="0"/>
    <cacheHierarchy uniqueName="[Measures].[Sales Previous Month]" caption="Sales Previous Month" measure="1" displayFolder="" measureGroup="Data" count="0"/>
    <cacheHierarchy uniqueName="[Measures].[Growth]" caption="Growth" measure="1" displayFolder="" measureGroup="Data" count="0"/>
    <cacheHierarchy uniqueName="[Measures].[Difference between Months]" caption="Difference between Months"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Amount]" caption="Sum of Sales Amount" measure="1" displayFolder="" measureGroup="Data"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Data" count="0" hidden="1">
      <extLst>
        <ext xmlns:x15="http://schemas.microsoft.com/office/spreadsheetml/2010/11/main" uri="{B97F6D7D-B522-45F9-BDA1-12C45D357490}">
          <x15:cacheHierarchy aggregatedColumn="9"/>
        </ext>
      </extLst>
    </cacheHierarchy>
    <cacheHierarchy uniqueName="[Measures].[Count of Region]" caption="Count of Region" measure="1" displayFolder="" measureGroup="Data" count="0" hidden="1">
      <extLst>
        <ext xmlns:x15="http://schemas.microsoft.com/office/spreadsheetml/2010/11/main" uri="{B97F6D7D-B522-45F9-BDA1-12C45D357490}">
          <x15:cacheHierarchy aggregatedColumn="10"/>
        </ext>
      </extLst>
    </cacheHierarchy>
    <cacheHierarchy uniqueName="[Measures].[Average of Sales Amount]" caption="Average of Sales Amount"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777722685183" backgroundQuery="1" createdVersion="8" refreshedVersion="8" minRefreshableVersion="3" recordCount="0" supportSubquery="1" supportAdvancedDrill="1" xr:uid="{4E9215A0-F54E-44FF-808E-9F2219FCA97C}">
  <cacheSource type="external" connectionId="3"/>
  <cacheFields count="6">
    <cacheField name="[Data].[Salesperson].[Salesperson]" caption="Salesperson" numFmtId="0" hierarchy="11" level="1">
      <sharedItems count="6">
        <s v="David"/>
        <s v="Emily"/>
        <s v="James"/>
        <s v="John"/>
        <s v="Lisa"/>
        <s v="Michael"/>
      </sharedItems>
    </cacheField>
    <cacheField name="[Measures].[Total Sales]" caption="Total Sales" numFmtId="0" hierarchy="1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Customer Segment].[Customer Segment]" caption="Customer Segment" numFmtId="0" hierarchy="12" level="1">
      <sharedItems containsSemiMixedTypes="0" containsNonDate="0" containsString="0"/>
    </cacheField>
  </cacheFields>
  <cacheHierarchies count="2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0"/>
      </fieldsUsage>
    </cacheHierarchy>
    <cacheHierarchy uniqueName="[Data].[Customer Segment]" caption="Customer Segment" attribute="1" defaultMemberUniqueName="[Data].[Customer Segment].[All]" allUniqueName="[Data].[Customer Segment].[All]" dimensionUniqueName="[Data]" displayFolder="" count="2" memberValueDatatype="130" unbalanced="0">
      <fieldsUsage count="2">
        <fieldUsage x="-1"/>
        <fieldUsage x="5"/>
      </fieldsUsage>
    </cacheHierarchy>
    <cacheHierarchy uniqueName="[Data].[Product Type]" caption="Product Type" attribute="1" defaultMemberUniqueName="[Data].[Product Type].[All]" allUniqueName="[Data].[Product Type].[All]" dimensionUniqueName="[Data]" displayFolder="" count="0" memberValueDatatype="130" unbalanced="0"/>
    <cacheHierarchy uniqueName="[Data].[Sales Amount]" caption="Sales Amount" attribute="1" defaultMemberUniqueName="[Data].[Sales Amount].[All]" allUniqueName="[Data].[Sales Amount].[All]" dimensionUniqueName="[Data]" displayFolder="" count="0" memberValueDatatype="20" unbalanced="0"/>
    <cacheHierarchy uniqueName="[Measures].[Total Sales]" caption="Total Sales" measure="1" displayFolder="" measureGroup="Data" count="0" oneField="1">
      <fieldsUsage count="1">
        <fieldUsage x="1"/>
      </fieldsUsage>
    </cacheHierarchy>
    <cacheHierarchy uniqueName="[Measures].[Sales Previous Month]" caption="Sales Previous Month" measure="1" displayFolder="" measureGroup="Data" count="0"/>
    <cacheHierarchy uniqueName="[Measures].[Growth]" caption="Growth" measure="1" displayFolder="" measureGroup="Data" count="0"/>
    <cacheHierarchy uniqueName="[Measures].[Difference between Months]" caption="Difference between Months"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Amount]" caption="Sum of Sales Amount" measure="1" displayFolder="" measureGroup="Data"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Data" count="0" hidden="1">
      <extLst>
        <ext xmlns:x15="http://schemas.microsoft.com/office/spreadsheetml/2010/11/main" uri="{B97F6D7D-B522-45F9-BDA1-12C45D357490}">
          <x15:cacheHierarchy aggregatedColumn="9"/>
        </ext>
      </extLst>
    </cacheHierarchy>
    <cacheHierarchy uniqueName="[Measures].[Count of Region]" caption="Count of Region" measure="1" displayFolder="" measureGroup="Data" count="0" hidden="1">
      <extLst>
        <ext xmlns:x15="http://schemas.microsoft.com/office/spreadsheetml/2010/11/main" uri="{B97F6D7D-B522-45F9-BDA1-12C45D357490}">
          <x15:cacheHierarchy aggregatedColumn="10"/>
        </ext>
      </extLst>
    </cacheHierarchy>
    <cacheHierarchy uniqueName="[Measures].[Average of Sales Amount]" caption="Average of Sales Amount"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777723032406" backgroundQuery="1" createdVersion="8" refreshedVersion="8" minRefreshableVersion="3" recordCount="0" supportSubquery="1" supportAdvancedDrill="1" xr:uid="{28CC1A57-D333-494F-BD42-67599D403DAA}">
  <cacheSource type="external" connectionId="3"/>
  <cacheFields count="6">
    <cacheField name="[Data].[Salesperson].[Salesperson]" caption="Salesperson" numFmtId="0" hierarchy="11" level="1">
      <sharedItems count="6">
        <s v="David"/>
        <s v="Emily"/>
        <s v="James"/>
        <s v="John"/>
        <s v="Lisa"/>
        <s v="Michael"/>
      </sharedItems>
    </cacheField>
    <cacheField name="[Measures].[Total Sales]" caption="Total Sales" numFmtId="0" hierarchy="1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Customer Segment].[Customer Segment]" caption="Customer Segment" numFmtId="0" hierarchy="12" level="1">
      <sharedItems containsSemiMixedTypes="0" containsNonDate="0" containsString="0"/>
    </cacheField>
  </cacheFields>
  <cacheHierarchies count="2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0"/>
      </fieldsUsage>
    </cacheHierarchy>
    <cacheHierarchy uniqueName="[Data].[Customer Segment]" caption="Customer Segment" attribute="1" defaultMemberUniqueName="[Data].[Customer Segment].[All]" allUniqueName="[Data].[Customer Segment].[All]" dimensionUniqueName="[Data]" displayFolder="" count="2" memberValueDatatype="130" unbalanced="0">
      <fieldsUsage count="2">
        <fieldUsage x="-1"/>
        <fieldUsage x="5"/>
      </fieldsUsage>
    </cacheHierarchy>
    <cacheHierarchy uniqueName="[Data].[Product Type]" caption="Product Type" attribute="1" defaultMemberUniqueName="[Data].[Product Type].[All]" allUniqueName="[Data].[Product Type].[All]" dimensionUniqueName="[Data]" displayFolder="" count="0" memberValueDatatype="130" unbalanced="0"/>
    <cacheHierarchy uniqueName="[Data].[Sales Amount]" caption="Sales Amount" attribute="1" defaultMemberUniqueName="[Data].[Sales Amount].[All]" allUniqueName="[Data].[Sales Amount].[All]" dimensionUniqueName="[Data]" displayFolder="" count="0" memberValueDatatype="20" unbalanced="0"/>
    <cacheHierarchy uniqueName="[Measures].[Total Sales]" caption="Total Sales" measure="1" displayFolder="" measureGroup="Data" count="0" oneField="1">
      <fieldsUsage count="1">
        <fieldUsage x="1"/>
      </fieldsUsage>
    </cacheHierarchy>
    <cacheHierarchy uniqueName="[Measures].[Sales Previous Month]" caption="Sales Previous Month" measure="1" displayFolder="" measureGroup="Data" count="0"/>
    <cacheHierarchy uniqueName="[Measures].[Growth]" caption="Growth" measure="1" displayFolder="" measureGroup="Data" count="0"/>
    <cacheHierarchy uniqueName="[Measures].[Difference between Months]" caption="Difference between Months"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Amount]" caption="Sum of Sales Amount" measure="1" displayFolder="" measureGroup="Data"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Data" count="0" hidden="1">
      <extLst>
        <ext xmlns:x15="http://schemas.microsoft.com/office/spreadsheetml/2010/11/main" uri="{B97F6D7D-B522-45F9-BDA1-12C45D357490}">
          <x15:cacheHierarchy aggregatedColumn="9"/>
        </ext>
      </extLst>
    </cacheHierarchy>
    <cacheHierarchy uniqueName="[Measures].[Count of Region]" caption="Count of Region" measure="1" displayFolder="" measureGroup="Data" count="0" hidden="1">
      <extLst>
        <ext xmlns:x15="http://schemas.microsoft.com/office/spreadsheetml/2010/11/main" uri="{B97F6D7D-B522-45F9-BDA1-12C45D357490}">
          <x15:cacheHierarchy aggregatedColumn="10"/>
        </ext>
      </extLst>
    </cacheHierarchy>
    <cacheHierarchy uniqueName="[Measures].[Average of Sales Amount]" caption="Average of Sales Amount"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777723148145" backgroundQuery="1" createdVersion="8" refreshedVersion="8" minRefreshableVersion="3" recordCount="0" supportSubquery="1" supportAdvancedDrill="1" xr:uid="{4F22E08A-C107-44E2-8BB6-466E38CA3189}">
  <cacheSource type="external" connectionId="3"/>
  <cacheFields count="2">
    <cacheField name="[Measures].[Total Sales]" caption="Total Sales" numFmtId="0" hierarchy="15" level="32767"/>
    <cacheField name="[Data].[Customer Segment].[Customer Segment]" caption="Customer Segment" numFmtId="0" hierarchy="12" level="1">
      <sharedItems containsSemiMixedTypes="0" containsNonDate="0" containsString="0"/>
    </cacheField>
  </cacheFields>
  <cacheHierarchies count="2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Salesperson]" caption="Salesperson" attribute="1" defaultMemberUniqueName="[Data].[Salesperson].[All]" allUniqueName="[Data].[Salesperson].[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2" memberValueDatatype="130" unbalanced="0">
      <fieldsUsage count="2">
        <fieldUsage x="-1"/>
        <fieldUsage x="1"/>
      </fieldsUsage>
    </cacheHierarchy>
    <cacheHierarchy uniqueName="[Data].[Product Type]" caption="Product Type" attribute="1" defaultMemberUniqueName="[Data].[Product Type].[All]" allUniqueName="[Data].[Product Type].[All]" dimensionUniqueName="[Data]" displayFolder="" count="0" memberValueDatatype="130" unbalanced="0"/>
    <cacheHierarchy uniqueName="[Data].[Sales Amount]" caption="Sales Amount" attribute="1" defaultMemberUniqueName="[Data].[Sales Amount].[All]" allUniqueName="[Data].[Sales Amount].[All]" dimensionUniqueName="[Data]" displayFolder="" count="0" memberValueDatatype="20" unbalanced="0"/>
    <cacheHierarchy uniqueName="[Measures].[Total Sales]" caption="Total Sales" measure="1" displayFolder="" measureGroup="Data" count="0" oneField="1">
      <fieldsUsage count="1">
        <fieldUsage x="0"/>
      </fieldsUsage>
    </cacheHierarchy>
    <cacheHierarchy uniqueName="[Measures].[Sales Previous Month]" caption="Sales Previous Month" measure="1" displayFolder="" measureGroup="Data" count="0"/>
    <cacheHierarchy uniqueName="[Measures].[Growth]" caption="Growth" measure="1" displayFolder="" measureGroup="Data" count="0"/>
    <cacheHierarchy uniqueName="[Measures].[Difference between Months]" caption="Difference between Months"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Amount]" caption="Sum of Sales Amount" measure="1" displayFolder="" measureGroup="Data"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Data" count="0" hidden="1">
      <extLst>
        <ext xmlns:x15="http://schemas.microsoft.com/office/spreadsheetml/2010/11/main" uri="{B97F6D7D-B522-45F9-BDA1-12C45D357490}">
          <x15:cacheHierarchy aggregatedColumn="9"/>
        </ext>
      </extLst>
    </cacheHierarchy>
    <cacheHierarchy uniqueName="[Measures].[Count of Region]" caption="Count of Region" measure="1" displayFolder="" measureGroup="Data" count="0" hidden="1">
      <extLst>
        <ext xmlns:x15="http://schemas.microsoft.com/office/spreadsheetml/2010/11/main" uri="{B97F6D7D-B522-45F9-BDA1-12C45D357490}">
          <x15:cacheHierarchy aggregatedColumn="10"/>
        </ext>
      </extLst>
    </cacheHierarchy>
    <cacheHierarchy uniqueName="[Measures].[Average of Sales Amount]" caption="Average of Sales Amount"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777723263891" backgroundQuery="1" createdVersion="8" refreshedVersion="8" minRefreshableVersion="3" recordCount="0" supportSubquery="1" supportAdvancedDrill="1" xr:uid="{595A0CBA-A189-44E3-8605-175C5BCAAC6A}">
  <cacheSource type="external" connectionId="3"/>
  <cacheFields count="5">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Average of Sales Amount]" caption="Average of Sales Amount" numFmtId="0" hierarchy="25" level="32767"/>
    <cacheField name="[Data].[Customer Segment].[Customer Segment]" caption="Customer Segment" numFmtId="0" hierarchy="12" level="1">
      <sharedItems containsSemiMixedTypes="0" containsNonDate="0" containsString="0"/>
    </cacheField>
  </cacheFields>
  <cacheHierarchies count="2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Salesperson]" caption="Salesperson" attribute="1" defaultMemberUniqueName="[Data].[Salesperson].[All]" allUniqueName="[Data].[Salesperson].[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2" memberValueDatatype="130" unbalanced="0">
      <fieldsUsage count="2">
        <fieldUsage x="-1"/>
        <fieldUsage x="4"/>
      </fieldsUsage>
    </cacheHierarchy>
    <cacheHierarchy uniqueName="[Data].[Product Type]" caption="Product Type" attribute="1" defaultMemberUniqueName="[Data].[Product Type].[All]" allUniqueName="[Data].[Product Type].[All]" dimensionUniqueName="[Data]" displayFolder="" count="0" memberValueDatatype="130" unbalanced="0"/>
    <cacheHierarchy uniqueName="[Data].[Sales Amount]" caption="Sales Amount" attribute="1" defaultMemberUniqueName="[Data].[Sales Amount].[All]" allUniqueName="[Data].[Sales Amount].[All]" dimensionUniqueName="[Data]" displayFolder="" count="0" memberValueDatatype="20" unbalanced="0"/>
    <cacheHierarchy uniqueName="[Measures].[Total Sales]" caption="Total Sales" measure="1" displayFolder="" measureGroup="Data" count="0"/>
    <cacheHierarchy uniqueName="[Measures].[Sales Previous Month]" caption="Sales Previous Month" measure="1" displayFolder="" measureGroup="Data" count="0"/>
    <cacheHierarchy uniqueName="[Measures].[Growth]" caption="Growth" measure="1" displayFolder="" measureGroup="Data" count="0"/>
    <cacheHierarchy uniqueName="[Measures].[Difference between Months]" caption="Difference between Months"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Amount]" caption="Sum of Sales Amount" measure="1" displayFolder="" measureGroup="Data"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Data" count="0" hidden="1">
      <extLst>
        <ext xmlns:x15="http://schemas.microsoft.com/office/spreadsheetml/2010/11/main" uri="{B97F6D7D-B522-45F9-BDA1-12C45D357490}">
          <x15:cacheHierarchy aggregatedColumn="9"/>
        </ext>
      </extLst>
    </cacheHierarchy>
    <cacheHierarchy uniqueName="[Measures].[Count of Region]" caption="Count of Region" measure="1" displayFolder="" measureGroup="Data" count="0" hidden="1">
      <extLst>
        <ext xmlns:x15="http://schemas.microsoft.com/office/spreadsheetml/2010/11/main" uri="{B97F6D7D-B522-45F9-BDA1-12C45D357490}">
          <x15:cacheHierarchy aggregatedColumn="10"/>
        </ext>
      </extLst>
    </cacheHierarchy>
    <cacheHierarchy uniqueName="[Measures].[Average of Sales Amount]" caption="Average of Sales Amount" measure="1" displayFolder="" measureGroup="Data"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777723726853" backgroundQuery="1" createdVersion="8" refreshedVersion="8" minRefreshableVersion="3" recordCount="0" supportSubquery="1" supportAdvancedDrill="1" xr:uid="{DE93C24D-A0A2-4149-B5DD-7336A0D0F15E}">
  <cacheSource type="external" connectionId="3"/>
  <cacheFields count="5">
    <cacheField name="[Measures].[Total Sales]" caption="Total Sales" numFmtId="0" hierarchy="1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Customer Segment].[Customer Segment]" caption="Customer Segment" numFmtId="0" hierarchy="12" level="1">
      <sharedItems containsSemiMixedTypes="0" containsNonDate="0" containsString="0"/>
    </cacheField>
  </cacheFields>
  <cacheHierarchies count="2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Salesperson]" caption="Salesperson" attribute="1" defaultMemberUniqueName="[Data].[Salesperson].[All]" allUniqueName="[Data].[Salesperson].[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2" memberValueDatatype="130" unbalanced="0">
      <fieldsUsage count="2">
        <fieldUsage x="-1"/>
        <fieldUsage x="4"/>
      </fieldsUsage>
    </cacheHierarchy>
    <cacheHierarchy uniqueName="[Data].[Product Type]" caption="Product Type" attribute="1" defaultMemberUniqueName="[Data].[Product Type].[All]" allUniqueName="[Data].[Product Type].[All]" dimensionUniqueName="[Data]" displayFolder="" count="0" memberValueDatatype="130" unbalanced="0"/>
    <cacheHierarchy uniqueName="[Data].[Sales Amount]" caption="Sales Amount" attribute="1" defaultMemberUniqueName="[Data].[Sales Amount].[All]" allUniqueName="[Data].[Sales Amount].[All]" dimensionUniqueName="[Data]" displayFolder="" count="2" memberValueDatatype="20" unbalanced="0"/>
    <cacheHierarchy uniqueName="[Measures].[Total Sales]" caption="Total Sales" measure="1" displayFolder="" measureGroup="Data" count="0" oneField="1">
      <fieldsUsage count="1">
        <fieldUsage x="0"/>
      </fieldsUsage>
    </cacheHierarchy>
    <cacheHierarchy uniqueName="[Measures].[Sales Previous Month]" caption="Sales Previous Month" measure="1" displayFolder="" measureGroup="Data" count="0"/>
    <cacheHierarchy uniqueName="[Measures].[Growth]" caption="Growth" measure="1" displayFolder="" measureGroup="Data" count="0"/>
    <cacheHierarchy uniqueName="[Measures].[Difference between Months]" caption="Difference between Months"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Amount]" caption="Sum of Sales Amount" measure="1" displayFolder="" measureGroup="Data"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Data" count="0" hidden="1">
      <extLst>
        <ext xmlns:x15="http://schemas.microsoft.com/office/spreadsheetml/2010/11/main" uri="{B97F6D7D-B522-45F9-BDA1-12C45D357490}">
          <x15:cacheHierarchy aggregatedColumn="9"/>
        </ext>
      </extLst>
    </cacheHierarchy>
    <cacheHierarchy uniqueName="[Measures].[Count of Region]" caption="Count of Region" measure="1" displayFolder="" measureGroup="Data" count="0" hidden="1">
      <extLst>
        <ext xmlns:x15="http://schemas.microsoft.com/office/spreadsheetml/2010/11/main" uri="{B97F6D7D-B522-45F9-BDA1-12C45D357490}">
          <x15:cacheHierarchy aggregatedColumn="10"/>
        </ext>
      </extLst>
    </cacheHierarchy>
    <cacheHierarchy uniqueName="[Measures].[Average of Sales Amount]" caption="Average of Sales Amount"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679059606482" backgroundQuery="1" createdVersion="3" refreshedVersion="8" minRefreshableVersion="3" recordCount="0" supportSubquery="1" supportAdvancedDrill="1" xr:uid="{87BA8E78-4EB6-429A-ACB0-EA6B2F5C0A97}">
  <cacheSource type="external" connectionId="3">
    <extLst>
      <ext xmlns:x14="http://schemas.microsoft.com/office/spreadsheetml/2009/9/main" uri="{F057638F-6D5F-4e77-A914-E7F072B9BCA8}">
        <x14:sourceConnection name="ThisWorkbookDataModel"/>
      </ext>
    </extLst>
  </cacheSource>
  <cacheFields count="0"/>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Date]" caption="Date" attribute="1" time="1" defaultMemberUniqueName="[Data].[Date].[All]" allUniqueName="[Data].[Date].[All]" dimensionUniqueName="[Data]" displayFolder="" count="2" memberValueDatatype="7"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Salesperson]" caption="Salesperson" attribute="1" defaultMemberUniqueName="[Data].[Salesperson].[All]" allUniqueName="[Data].[Salesperson].[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2" memberValueDatatype="130" unbalanced="0"/>
    <cacheHierarchy uniqueName="[Data].[Product Type]" caption="Product Type" attribute="1" defaultMemberUniqueName="[Data].[Product Type].[All]" allUniqueName="[Data].[Product Type].[All]" dimensionUniqueName="[Data]" displayFolder="" count="2" memberValueDatatype="130" unbalanced="0"/>
    <cacheHierarchy uniqueName="[Data].[Sales Amount]" caption="Sales Amount" attribute="1" defaultMemberUniqueName="[Data].[Sales Amount].[All]" allUniqueName="[Data].[Sales Amount].[All]" dimensionUniqueName="[Data]" displayFolder="" count="0" memberValueDatatype="20" unbalanced="0"/>
    <cacheHierarchy uniqueName="[Measures].[Total Sales]" caption="Total Sales" measure="1" displayFolder="" measureGroup="Data" count="0"/>
    <cacheHierarchy uniqueName="[Measures].[Sales Previous Month]" caption="Sales Previous Month" measure="1" displayFolder="" measureGroup="Data" count="0"/>
    <cacheHierarchy uniqueName="[Measures].[Growth]" caption="Growth" measure="1" displayFolder="" measureGroup="Data" count="0"/>
    <cacheHierarchy uniqueName="[Measures].[Difference between Months]" caption="Difference between Months"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71502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7105C0-E431-4CFE-B080-E12A06B68E05}" name="PivotTable24" cacheId="6" applyNumberFormats="0" applyBorderFormats="0" applyFontFormats="0" applyPatternFormats="0" applyAlignmentFormats="0" applyWidthHeightFormats="1" dataCaption="Values" tag="8ef21227-d4e0-4c5a-91ea-f9b24d1bc6ca" updatedVersion="8" minRefreshableVersion="3" useAutoFormatting="1" subtotalHiddenItems="1" itemPrintTitles="1" createdVersion="8" indent="0" outline="1" outlineData="1" multipleFieldFilters="0">
  <location ref="J6:J7" firstHeaderRow="1" firstDataRow="1" firstDataCol="0"/>
  <pivotFields count="5">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dataSourceSort="1" defaultSubtotal="0" defaultAttributeDrillState="1"/>
  </pivotFields>
  <rowItems count="1">
    <i/>
  </rowItems>
  <colItems count="1">
    <i/>
  </colItems>
  <dataFields count="1">
    <dataField name="Average Sales" fld="3" subtotal="average" baseField="0" baseItem="0"/>
  </dataFields>
  <formats count="3">
    <format dxfId="2">
      <pivotArea type="all" dataOnly="0" outline="0" fieldPosition="0"/>
    </format>
    <format dxfId="1">
      <pivotArea dataOnly="0" labelOnly="1" outline="0" axis="axisValues" fieldPosition="0"/>
    </format>
    <format dxfId="0">
      <pivotArea outline="0" collapsedLevelsAreSubtotals="1" fieldPosition="0"/>
    </format>
  </formats>
  <pivotHierarchies count="26">
    <pivotHierarchy dragToData="1"/>
    <pivotHierarchy multipleItemSelectionAllowed="1">
      <members count="10" level="2">
        <member name="[Calendar].[Date Hierarchy].[Month].&amp;[April]"/>
        <member name="[Calendar].[Date Hierarchy].[Month].&amp;[August]"/>
        <member name="[Calendar].[Date Hierarchy].[Month].&amp;[December]"/>
        <member name="[Calendar].[Date Hierarchy].[Month].&amp;[February]"/>
        <member name="[Calendar].[Date Hierarchy].[Month].&amp;[July]"/>
        <member name="[Calendar].[Date Hierarchy].[Month].&amp;[June]"/>
        <member name="[Calendar].[Date Hierarchy].[Month].&amp;[March]"/>
        <member name="[Calendar].[Date Hierarchy].[Month].&amp;[November]"/>
        <member name="[Calendar].[Date Hierarchy].[Month].&amp;[October]"/>
        <member name="[Calendar].[Date Hierarchy].[Month].&amp;[September]"/>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Sal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5CAE2-19CC-4619-A500-33A94D389A3B}" name="Waterfall" cacheId="2" applyNumberFormats="0" applyBorderFormats="0" applyFontFormats="0" applyPatternFormats="0" applyAlignmentFormats="0" applyWidthHeightFormats="1" dataCaption="Values" tag="ec454c6a-8d7e-45e4-8f3a-574dce577699" updatedVersion="8" minRefreshableVersion="3" useAutoFormatting="1" subtotalHiddenItems="1" itemPrintTitles="1" createdVersion="8" indent="0" outline="1" outlineData="1" multipleFieldFilters="0">
  <location ref="G3:H9" firstHeaderRow="1"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2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ACCED9-F87E-4ED2-90F1-AA279D35A07A}" name="PivotTable22" cacheId="5" applyNumberFormats="0" applyBorderFormats="0" applyFontFormats="0" applyPatternFormats="0" applyAlignmentFormats="0" applyWidthHeightFormats="1" dataCaption="Values" tag="aeb128f2-0e03-4f75-866b-eadfb534e925" updatedVersion="8" minRefreshableVersion="3" useAutoFormatting="1" subtotalHiddenItems="1" itemPrintTitles="1" createdVersion="8"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0960BB-8D08-4C40-BEE8-C3ECEC6EAE82}" name="Growth" cacheId="0" applyNumberFormats="0" applyBorderFormats="0" applyFontFormats="0" applyPatternFormats="0" applyAlignmentFormats="0" applyWidthHeightFormats="1" dataCaption="Values" tag="98f64ec1-66cd-472e-b5de-169e66f9918e" updatedVersion="8" minRefreshableVersion="3" useAutoFormatting="1" subtotalHiddenItems="1" itemPrintTitles="1" createdVersion="8" indent="0" outline="1" outlineData="1" multipleFieldFilters="0" chartFormat="6">
  <location ref="A3:D7" firstHeaderRow="0" firstDataRow="1" firstDataCol="1"/>
  <pivotFields count="8">
    <pivotField axis="axisRow" allDrilled="1" subtotalTop="0" showAll="0" sortType="ascending"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numFmtId="9"/>
  </dataFields>
  <formats count="3">
    <format dxfId="5">
      <pivotArea outline="0" collapsedLevelsAreSubtotals="1" fieldPosition="0">
        <references count="1">
          <reference field="4294967294" count="1" selected="0">
            <x v="2"/>
          </reference>
        </references>
      </pivotArea>
    </format>
    <format dxfId="4">
      <pivotArea dataOnly="0" labelOnly="1" outline="0" fieldPosition="0">
        <references count="1">
          <reference field="4294967294" count="1">
            <x v="2"/>
          </reference>
        </references>
      </pivotArea>
    </format>
    <format dxfId="3">
      <pivotArea collapsedLevelsAreSubtotals="1" fieldPosition="0">
        <references count="2">
          <reference field="4294967294" count="1" selected="0">
            <x v="2"/>
          </reference>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26">
    <pivotHierarchy dragToData="1"/>
    <pivotHierarchy multipleItemSelectionAllowed="1">
      <members count="10" level="2">
        <member name="[Calendar].[Date Hierarchy].[Month].&amp;[April]"/>
        <member name="[Calendar].[Date Hierarchy].[Month].&amp;[August]"/>
        <member name="[Calendar].[Date Hierarchy].[Month].&amp;[December]"/>
        <member name="[Calendar].[Date Hierarchy].[Month].&amp;[February]"/>
        <member name="[Calendar].[Date Hierarchy].[Month].&amp;[July]"/>
        <member name="[Calendar].[Date Hierarchy].[Month].&amp;[June]"/>
        <member name="[Calendar].[Date Hierarchy].[Month].&amp;[March]"/>
        <member name="[Calendar].[Date Hierarchy].[Month].&amp;[November]"/>
        <member name="[Calendar].[Date Hierarchy].[Month].&amp;[October]"/>
        <member name="[Calendar].[Date Hierarchy].[Month].&amp;[September]"/>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1B9240-A0F4-4DF6-AA4A-DF8A237E32D4}" name="PivotTable21" cacheId="4" applyNumberFormats="0" applyBorderFormats="0" applyFontFormats="0" applyPatternFormats="0" applyAlignmentFormats="0" applyWidthHeightFormats="1" dataCaption="Values" tag="2b6b6958-e0ad-4655-ad10-7a865137bda6" updatedVersion="8" minRefreshableVersion="3" useAutoFormatting="1" subtotalHiddenItems="1" itemPrintTitles="1" createdVersion="8" indent="0" outline="1" outlineData="1" multipleFieldFilters="0" chartFormat="1">
  <location ref="D12:E19" firstHeaderRow="1" firstDataRow="1" firstDataCol="1"/>
  <pivotFields count="6">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7">
    <i>
      <x v="3"/>
    </i>
    <i>
      <x v="4"/>
    </i>
    <i>
      <x v="2"/>
    </i>
    <i>
      <x v="1"/>
    </i>
    <i>
      <x/>
    </i>
    <i>
      <x v="5"/>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multipleItemSelectionAllowed="1">
      <members count="10" level="2">
        <member name="[Calendar].[Date Hierarchy].[Month].&amp;[April]"/>
        <member name="[Calendar].[Date Hierarchy].[Month].&amp;[August]"/>
        <member name="[Calendar].[Date Hierarchy].[Month].&amp;[December]"/>
        <member name="[Calendar].[Date Hierarchy].[Month].&amp;[February]"/>
        <member name="[Calendar].[Date Hierarchy].[Month].&amp;[July]"/>
        <member name="[Calendar].[Date Hierarchy].[Month].&amp;[June]"/>
        <member name="[Calendar].[Date Hierarchy].[Month].&amp;[March]"/>
        <member name="[Calendar].[Date Hierarchy].[Month].&amp;[November]"/>
        <member name="[Calendar].[Date Hierarchy].[Month].&amp;[October]"/>
        <member name="[Calendar].[Date Hierarchy].[Month].&amp;[September]"/>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4E1FFB-C30A-4FBD-A907-BB89C5CAE8D1}" name="PivotTable20" cacheId="3" applyNumberFormats="0" applyBorderFormats="0" applyFontFormats="0" applyPatternFormats="0" applyAlignmentFormats="0" applyWidthHeightFormats="1" dataCaption="Values" tag="b85080dd-1b2d-4aa9-885c-f43c7d5c3f82" updatedVersion="8" minRefreshableVersion="3" useAutoFormatting="1" subtotalHiddenItems="1" itemPrintTitles="1" createdVersion="8" indent="0" outline="1" outlineData="1" multipleFieldFilters="0" chartFormat="1">
  <location ref="G17:H24" firstHeaderRow="1" firstDataRow="1" firstDataCol="1"/>
  <pivotFields count="6">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7">
    <i>
      <x v="5"/>
    </i>
    <i>
      <x/>
    </i>
    <i>
      <x v="1"/>
    </i>
    <i>
      <x v="2"/>
    </i>
    <i>
      <x v="4"/>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multipleItemSelectionAllowed="1">
      <members count="10" level="2">
        <member name="[Calendar].[Date Hierarchy].[Month].&amp;[April]"/>
        <member name="[Calendar].[Date Hierarchy].[Month].&amp;[August]"/>
        <member name="[Calendar].[Date Hierarchy].[Month].&amp;[December]"/>
        <member name="[Calendar].[Date Hierarchy].[Month].&amp;[February]"/>
        <member name="[Calendar].[Date Hierarchy].[Month].&amp;[July]"/>
        <member name="[Calendar].[Date Hierarchy].[Month].&amp;[June]"/>
        <member name="[Calendar].[Date Hierarchy].[Month].&amp;[March]"/>
        <member name="[Calendar].[Date Hierarchy].[Month].&amp;[November]"/>
        <member name="[Calendar].[Date Hierarchy].[Month].&amp;[October]"/>
        <member name="[Calendar].[Date Hierarchy].[Month].&amp;[September]"/>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0CD478-BB87-4E25-B539-057766B903A2}" name="PersonSale Sales" cacheId="1" applyNumberFormats="0" applyBorderFormats="0" applyFontFormats="0" applyPatternFormats="0" applyAlignmentFormats="0" applyWidthHeightFormats="1" dataCaption="Values" tag="65d02b50-cb7e-4335-8d3f-b1f50cba7818" updatedVersion="8" minRefreshableVersion="3" useAutoFormatting="1" subtotalHiddenItems="1" itemPrintTitles="1" createdVersion="8" indent="0" outline="1" outlineData="1" multipleFieldFilters="0" chartFormat="6">
  <location ref="A12:B19" firstHeaderRow="1" firstDataRow="1" firstDataCol="1"/>
  <pivotFields count="6">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7">
    <i>
      <x v="5"/>
    </i>
    <i>
      <x/>
    </i>
    <i>
      <x v="1"/>
    </i>
    <i>
      <x v="2"/>
    </i>
    <i>
      <x v="4"/>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6">
    <pivotHierarchy dragToData="1"/>
    <pivotHierarchy multipleItemSelectionAllowed="1">
      <members count="10" level="2">
        <member name="[Calendar].[Date Hierarchy].[Month].&amp;[April]"/>
        <member name="[Calendar].[Date Hierarchy].[Month].&amp;[August]"/>
        <member name="[Calendar].[Date Hierarchy].[Month].&amp;[December]"/>
        <member name="[Calendar].[Date Hierarchy].[Month].&amp;[February]"/>
        <member name="[Calendar].[Date Hierarchy].[Month].&amp;[July]"/>
        <member name="[Calendar].[Date Hierarchy].[Month].&amp;[June]"/>
        <member name="[Calendar].[Date Hierarchy].[Month].&amp;[March]"/>
        <member name="[Calendar].[Date Hierarchy].[Month].&amp;[November]"/>
        <member name="[Calendar].[Date Hierarchy].[Month].&amp;[October]"/>
        <member name="[Calendar].[Date Hierarchy].[Month].&amp;[September]"/>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A05D04-C7EC-417E-86D6-ABBD619E1378}" name="PivotTable25" cacheId="7" applyNumberFormats="0" applyBorderFormats="0" applyFontFormats="0" applyPatternFormats="0" applyAlignmentFormats="0" applyWidthHeightFormats="1" dataCaption="Values" tag="279c0970-bdc7-44c2-af86-31fd9e2ce985" updatedVersion="8" minRefreshableVersion="3" useAutoFormatting="1" subtotalHiddenItems="1" itemPrintTitles="1" createdVersion="8" indent="0" outline="1" outlineData="1" multipleFieldFilters="0">
  <location ref="J9:J10" firstHeaderRow="1" firstDataRow="1" firstDataCol="0"/>
  <pivotFields count="5">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6">
    <pivotHierarchy dragToData="1"/>
    <pivotHierarchy multipleItemSelectionAllowed="1">
      <members count="10" level="2">
        <member name="[Calendar].[Date Hierarchy].[Month].&amp;[April]"/>
        <member name="[Calendar].[Date Hierarchy].[Month].&amp;[August]"/>
        <member name="[Calendar].[Date Hierarchy].[Month].&amp;[December]"/>
        <member name="[Calendar].[Date Hierarchy].[Month].&amp;[February]"/>
        <member name="[Calendar].[Date Hierarchy].[Month].&amp;[July]"/>
        <member name="[Calendar].[Date Hierarchy].[Month].&amp;[June]"/>
        <member name="[Calendar].[Date Hierarchy].[Month].&amp;[March]"/>
        <member name="[Calendar].[Date Hierarchy].[Month].&amp;[November]"/>
        <member name="[Calendar].[Date Hierarchy].[Month].&amp;[October]"/>
        <member name="[Calendar].[Date Hierarchy].[Month].&amp;[September]"/>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2CCCD59-7040-4DFE-B70A-8C82351C395D}" autoFormatId="16" applyNumberFormats="0" applyBorderFormats="0" applyFontFormats="0" applyPatternFormats="0" applyAlignmentFormats="0" applyWidthHeightFormats="0">
  <queryTableRefresh nextId="8">
    <queryTableFields count="7">
      <queryTableField id="1" name="Date" tableColumnId="1"/>
      <queryTableField id="2" name="Product Category" tableColumnId="2"/>
      <queryTableField id="3" name="Region" tableColumnId="3"/>
      <queryTableField id="4" name="Salesperson" tableColumnId="4"/>
      <queryTableField id="5" name="Customer Segment" tableColumnId="5"/>
      <queryTableField id="6" name="Product Type" tableColumnId="6"/>
      <queryTableField id="7" name="Sales Amoun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B9BD3F2-7919-44E5-A853-E5848B3A281B}" sourceName="[Data].[Customer Segment]">
  <pivotTables>
    <pivotTable tabId="5" name="Growth"/>
    <pivotTable tabId="5" name="PersonSale Sales"/>
    <pivotTable tabId="5" name="Waterfall"/>
    <pivotTable tabId="5" name="PivotTable20"/>
    <pivotTable tabId="5" name="PivotTable21"/>
    <pivotTable tabId="5" name="PivotTable22"/>
    <pivotTable tabId="5" name="PivotTable24"/>
    <pivotTable tabId="5" name="PivotTable25"/>
  </pivotTables>
  <data>
    <olap pivotCacheId="227150228">
      <levels count="2">
        <level uniqueName="[Data].[Customer Segment].[(All)]" sourceCaption="(All)" count="0"/>
        <level uniqueName="[Data].[Customer Segment].[Customer Segment]" sourceCaption="Customer Segment" count="2">
          <ranges>
            <range startItem="0">
              <i n="[Data].[Customer Segment].&amp;[Retail]" c="Retail"/>
              <i n="[Data].[Customer Segment].&amp;[Wholesale]" c="Wholesale"/>
            </range>
          </ranges>
        </level>
      </levels>
      <selections count="1">
        <selection n="[Data].[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1492CF0-AC4D-49B4-A379-E2A6FDD4006A}" sourceName="[Data].[Product Category]">
  <pivotTables>
    <pivotTable tabId="5" name="Growth"/>
    <pivotTable tabId="5" name="PersonSale Sales"/>
    <pivotTable tabId="5" name="Waterfall"/>
    <pivotTable tabId="5" name="PivotTable20"/>
    <pivotTable tabId="5" name="PivotTable21"/>
    <pivotTable tabId="5" name="PivotTable22"/>
    <pivotTable tabId="5" name="PivotTable24"/>
    <pivotTable tabId="5" name="PivotTable25"/>
  </pivotTables>
  <data>
    <olap pivotCacheId="227150228">
      <levels count="2">
        <level uniqueName="[Data].[Product Category].[(All)]" sourceCaption="(All)" count="0"/>
        <level uniqueName="[Data].[Product Category].[Product Category]" sourceCaption="Product Category" count="2">
          <ranges>
            <range startItem="0">
              <i n="[Data].[Product Category].&amp;[Clothing]" c="Clothing"/>
              <i n="[Data].[Product Category].&amp;[Electronics]" c="Electronics"/>
            </range>
          </ranges>
        </level>
      </levels>
      <selections count="1">
        <selection n="[Data].[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EF0B28-5172-4CB7-8101-5452847BCA86}" sourceName="[Data].[Region]">
  <pivotTables>
    <pivotTable tabId="5" name="Growth"/>
    <pivotTable tabId="5" name="PersonSale Sales"/>
    <pivotTable tabId="5" name="Waterfall"/>
    <pivotTable tabId="5" name="PivotTable20"/>
    <pivotTable tabId="5" name="PivotTable21"/>
    <pivotTable tabId="5" name="PivotTable22"/>
    <pivotTable tabId="5" name="PivotTable24"/>
    <pivotTable tabId="5" name="PivotTable25"/>
  </pivotTables>
  <data>
    <olap pivotCacheId="227150228">
      <levels count="2">
        <level uniqueName="[Data].[Region].[(All)]" sourceCaption="(All)" count="0"/>
        <level uniqueName="[Data].[Region].[Region]" sourceCaption="Region" count="3">
          <ranges>
            <range startItem="0">
              <i n="[Data].[Region].&amp;[North]" c="North"/>
              <i n="[Data].[Region].&amp;[South]" c="South"/>
              <i n="[Data].[Region].&amp;[West]" c="West"/>
            </range>
          </ranges>
        </level>
      </levels>
      <selections count="1">
        <selection n="[Data].[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F87AF8E5-EA3D-4C83-8660-F9C3224ACAE4}" sourceName="[Data].[Product Type]">
  <pivotTables>
    <pivotTable tabId="5" name="Growth"/>
    <pivotTable tabId="5" name="PersonSale Sales"/>
    <pivotTable tabId="5" name="Waterfall"/>
    <pivotTable tabId="5" name="PivotTable20"/>
    <pivotTable tabId="5" name="PivotTable21"/>
    <pivotTable tabId="5" name="PivotTable22"/>
    <pivotTable tabId="5" name="PivotTable24"/>
    <pivotTable tabId="5" name="PivotTable25"/>
  </pivotTables>
  <data>
    <olap pivotCacheId="227150228">
      <levels count="2">
        <level uniqueName="[Data].[Product Type].[(All)]" sourceCaption="(All)" count="0"/>
        <level uniqueName="[Data].[Product Type].[Product Type]" sourceCaption="Product Type" count="2">
          <ranges>
            <range startItem="0">
              <i n="[Data].[Product Type].&amp;[Apparel]" c="Apparel"/>
              <i n="[Data].[Product Type].&amp;[Smartphones]" c="Smartphones"/>
            </range>
          </ranges>
        </level>
      </levels>
      <selections count="1">
        <selection n="[Data].[Product 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ED687C2A-2ED0-44DF-AD99-7DDDE10195D5}" sourceName="[Calendar].[Date Hierarchy]">
  <pivotTables>
    <pivotTable tabId="5" name="PersonSale Sales"/>
    <pivotTable tabId="5" name="Growth"/>
    <pivotTable tabId="5" name="PivotTable20"/>
    <pivotTable tabId="5" name="PivotTable21"/>
    <pivotTable tabId="5" name="PivotTable25"/>
  </pivotTables>
  <data>
    <olap pivotCacheId="227150228">
      <levels count="4">
        <level uniqueName="[Calendar].[Date Hierarchy].[(All)]" sourceCaption="(All)" count="0"/>
        <level uniqueName="[Calendar].[Date Hierarchy].[Year]" sourceCaption="Year" count="0"/>
        <level uniqueName="[Calendar].[Date Hierarchy].[Month]" sourceCaption="Month" count="12">
          <ranges>
            <range startItem="0">
              <i n="[Calendar].[Date Hierarchy].[Month].&amp;[January]" c="January">
                <p n="[Calendar].[Date Hierarchy].[Year].&amp;[2023]"/>
              </i>
              <i n="[Calendar].[Date Hierarchy].[Month].&amp;[February]" c="February">
                <p n="[Calendar].[Date Hierarchy].[Year].&amp;[2023]"/>
              </i>
              <i n="[Calendar].[Date Hierarchy].[Month].&amp;[March]" c="March">
                <p n="[Calendar].[Date Hierarchy].[Year].&amp;[2023]"/>
              </i>
              <i n="[Calendar].[Date Hierarchy].[Month].&amp;[April]" c="April">
                <p n="[Calendar].[Date Hierarchy].[Year].&amp;[2023]"/>
              </i>
              <i n="[Calendar].[Date Hierarchy].[Month].&amp;[May]" c="May">
                <p n="[Calendar].[Date Hierarchy].[Year].&amp;[2023]"/>
              </i>
              <i n="[Calendar].[Date Hierarchy].[Month].&amp;[June]" c="June" nd="1">
                <p n="[Calendar].[Date Hierarchy].[Year].&amp;[2023]"/>
              </i>
              <i n="[Calendar].[Date Hierarchy].[Month].&amp;[July]" c="July" nd="1">
                <p n="[Calendar].[Date Hierarchy].[Year].&amp;[2023]"/>
              </i>
              <i n="[Calendar].[Date Hierarchy].[Month].&amp;[August]" c="August" nd="1">
                <p n="[Calendar].[Date Hierarchy].[Year].&amp;[2023]"/>
              </i>
              <i n="[Calendar].[Date Hierarchy].[Month].&amp;[September]" c="September" nd="1">
                <p n="[Calendar].[Date Hierarchy].[Year].&amp;[2023]"/>
              </i>
              <i n="[Calendar].[Date Hierarchy].[Month].&amp;[October]" c="October" nd="1">
                <p n="[Calendar].[Date Hierarchy].[Year].&amp;[2023]"/>
              </i>
              <i n="[Calendar].[Date Hierarchy].[Month].&amp;[November]" c="November" nd="1">
                <p n="[Calendar].[Date Hierarchy].[Year].&amp;[2023]"/>
              </i>
              <i n="[Calendar].[Date Hierarchy].[Month].&amp;[December]" c="December" nd="1">
                <p n="[Calendar].[Date Hierarchy].[Year].&amp;[2023]"/>
              </i>
            </range>
          </ranges>
        </level>
        <level uniqueName="[Calendar].[Date Hierarchy].[DateColumn]" sourceCaption="DateColumn" count="0"/>
      </levels>
      <selections count="10">
        <selection n="[Calendar].[Date Hierarchy].[Month].&amp;[April]">
          <p n="[Calendar].[Date Hierarchy].[Year].&amp;[2023]"/>
        </selection>
        <selection n="[Calendar].[Date Hierarchy].[Month].&amp;[August]">
          <p n="[Calendar].[Date Hierarchy].[Year].&amp;[2023]"/>
        </selection>
        <selection n="[Calendar].[Date Hierarchy].[Month].&amp;[December]">
          <p n="[Calendar].[Date Hierarchy].[Year].&amp;[2023]"/>
        </selection>
        <selection n="[Calendar].[Date Hierarchy].[Month].&amp;[February]">
          <p n="[Calendar].[Date Hierarchy].[Year].&amp;[2023]"/>
        </selection>
        <selection n="[Calendar].[Date Hierarchy].[Month].&amp;[July]">
          <p n="[Calendar].[Date Hierarchy].[Year].&amp;[2023]"/>
        </selection>
        <selection n="[Calendar].[Date Hierarchy].[Month].&amp;[June]">
          <p n="[Calendar].[Date Hierarchy].[Year].&amp;[2023]"/>
        </selection>
        <selection n="[Calendar].[Date Hierarchy].[Month].&amp;[March]">
          <p n="[Calendar].[Date Hierarchy].[Year].&amp;[2023]"/>
        </selection>
        <selection n="[Calendar].[Date Hierarchy].[Month].&amp;[November]">
          <p n="[Calendar].[Date Hierarchy].[Year].&amp;[2023]"/>
        </selection>
        <selection n="[Calendar].[Date Hierarchy].[Month].&amp;[October]">
          <p n="[Calendar].[Date Hierarchy].[Year].&amp;[2023]"/>
        </selection>
        <selection n="[Calendar].[Date Hierarchy].[Month].&amp;[September]">
          <p n="[Calendar].[Date Hierarchy].[Year].&amp;[2023]"/>
        </selectio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105D9C56-6BC3-400A-B8A9-EA51595D7E1C}" cache="Slicer_Customer_Segment" caption="Customer Segment" level="1" style="Slicer Style 1" rowHeight="241300"/>
  <slicer name="Product Category" xr10:uid="{3BA0A2B1-D9FE-4465-85C4-A12BE83134E5}" cache="Slicer_Product_Category" caption="Product Category" level="1" style="Slicer Style 1" rowHeight="241300"/>
  <slicer name="Region" xr10:uid="{D3F1E157-3180-4111-9BDC-02126189F238}" cache="Slicer_Region" caption="Region" level="1" style="Slicer Style 1" rowHeight="241300"/>
  <slicer name="Product Type" xr10:uid="{543BA026-E96C-44B4-ACFC-BB60847FC4E9}" cache="Slicer_Product_Type" caption="Product Type" level="1" style="Slicer Style 1" rowHeight="241300"/>
  <slicer name="Month" xr10:uid="{5221C26F-7EE5-4972-AE45-732A2C13363C}" cache="Slicer_Date_Hierarchy" caption="Month" level="2"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E830CD84-F57A-4B87-B366-C626447DBD6E}" cache="Slicer_Customer_Segment" caption="Customer Segment" level="1" style="Slicer Style 1" rowHeight="241300"/>
  <slicer name="Product Category 1" xr10:uid="{5F0C959C-F230-4025-9639-4D55DB8F73F1}" cache="Slicer_Product_Category" caption="Product Category" level="1" style="Slicer Style 1" rowHeight="241300"/>
  <slicer name="Region 1" xr10:uid="{CC98C205-41E3-40F5-B8B6-757E020C8C7B}" cache="Slicer_Region" caption="Region" level="1" style="Slicer Style 1" rowHeight="241300"/>
  <slicer name="Product Type 1" xr10:uid="{15D5B74B-0227-4D35-A005-064DD742CBC2}" cache="Slicer_Product_Type" caption="Product Type" level="1" style="Slicer Style 1" rowHeight="241300"/>
  <slicer name="Month 1" xr10:uid="{6A41BC64-5C59-43A3-8E71-232109ABE4C4}" cache="Slicer_Date_Hierarchy" caption="Month" level="2"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2D9F92-2CA9-457D-843C-3251077A9DA4}" name="Data" displayName="Data" ref="A1:G41" tableType="queryTable" totalsRowShown="0">
  <autoFilter ref="A1:G41" xr:uid="{9F2D9F92-2CA9-457D-843C-3251077A9DA4}"/>
  <tableColumns count="7">
    <tableColumn id="1" xr3:uid="{A23BDA34-B1B8-425D-B78A-2381E39CDA1D}" uniqueName="1" name="Date" queryTableFieldId="1" dataDxfId="11"/>
    <tableColumn id="2" xr3:uid="{0AF303A6-6A6C-41D0-B64C-C923F7240C0D}" uniqueName="2" name="Product Category" queryTableFieldId="2" dataDxfId="10"/>
    <tableColumn id="3" xr3:uid="{04B58023-797B-49AA-8C9E-D925080A807D}" uniqueName="3" name="Region" queryTableFieldId="3" dataDxfId="9"/>
    <tableColumn id="4" xr3:uid="{71DE9E6F-E23A-4452-B95D-5A74724DC4F1}" uniqueName="4" name="Salesperson" queryTableFieldId="4" dataDxfId="8"/>
    <tableColumn id="5" xr3:uid="{D6B94432-FCD3-48EE-B12C-DAAF988A6F66}" uniqueName="5" name="Customer Segment" queryTableFieldId="5" dataDxfId="7"/>
    <tableColumn id="6" xr3:uid="{A2B42043-9AAC-49B9-AAA5-670ACFEF228D}" uniqueName="6" name="Product Type" queryTableFieldId="6" dataDxfId="6"/>
    <tableColumn id="7" xr3:uid="{E87D14E6-3E30-44ED-A4B1-390D0AFCD1D5}" uniqueName="7" name="Sales Amount"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BD1B1-9B80-420B-BAB5-3722F20FEAC8}">
  <dimension ref="A1:G41"/>
  <sheetViews>
    <sheetView topLeftCell="A2" workbookViewId="0">
      <selection sqref="A1:G41"/>
    </sheetView>
  </sheetViews>
  <sheetFormatPr defaultRowHeight="15" x14ac:dyDescent="0.25"/>
  <cols>
    <col min="1" max="1" width="9.7109375" bestFit="1" customWidth="1"/>
    <col min="2" max="2" width="18.5703125" bestFit="1" customWidth="1"/>
    <col min="3" max="3" width="9.42578125" bestFit="1" customWidth="1"/>
    <col min="4" max="4" width="14" bestFit="1" customWidth="1"/>
    <col min="5" max="5" width="20.42578125" bestFit="1" customWidth="1"/>
    <col min="6" max="6" width="14.85546875" bestFit="1" customWidth="1"/>
    <col min="7" max="7" width="15.5703125" bestFit="1" customWidth="1"/>
  </cols>
  <sheetData>
    <row r="1" spans="1:7" x14ac:dyDescent="0.25">
      <c r="A1" t="s">
        <v>0</v>
      </c>
      <c r="B1" t="s">
        <v>1</v>
      </c>
      <c r="C1" t="s">
        <v>2</v>
      </c>
      <c r="D1" t="s">
        <v>3</v>
      </c>
      <c r="E1" t="s">
        <v>4</v>
      </c>
      <c r="F1" t="s">
        <v>5</v>
      </c>
      <c r="G1" t="s">
        <v>6</v>
      </c>
    </row>
    <row r="2" spans="1:7" x14ac:dyDescent="0.25">
      <c r="A2" s="1">
        <v>44927</v>
      </c>
      <c r="B2" t="s">
        <v>7</v>
      </c>
      <c r="C2" t="s">
        <v>8</v>
      </c>
      <c r="D2" t="s">
        <v>9</v>
      </c>
      <c r="E2" t="s">
        <v>10</v>
      </c>
      <c r="F2" t="s">
        <v>11</v>
      </c>
      <c r="G2">
        <v>5000</v>
      </c>
    </row>
    <row r="3" spans="1:7" x14ac:dyDescent="0.25">
      <c r="A3" s="1">
        <v>44928</v>
      </c>
      <c r="B3" t="s">
        <v>12</v>
      </c>
      <c r="C3" t="s">
        <v>13</v>
      </c>
      <c r="D3" t="s">
        <v>14</v>
      </c>
      <c r="E3" t="s">
        <v>15</v>
      </c>
      <c r="F3" t="s">
        <v>16</v>
      </c>
      <c r="G3">
        <v>3500</v>
      </c>
    </row>
    <row r="4" spans="1:7" x14ac:dyDescent="0.25">
      <c r="A4" s="1">
        <v>44929</v>
      </c>
      <c r="B4" t="s">
        <v>7</v>
      </c>
      <c r="C4" t="s">
        <v>17</v>
      </c>
      <c r="D4" t="s">
        <v>18</v>
      </c>
      <c r="E4" t="s">
        <v>10</v>
      </c>
      <c r="F4" t="s">
        <v>11</v>
      </c>
      <c r="G4">
        <v>4800</v>
      </c>
    </row>
    <row r="5" spans="1:7" x14ac:dyDescent="0.25">
      <c r="A5" s="1">
        <v>44930</v>
      </c>
      <c r="B5" t="s">
        <v>7</v>
      </c>
      <c r="C5" t="s">
        <v>8</v>
      </c>
      <c r="D5" t="s">
        <v>19</v>
      </c>
      <c r="E5" t="s">
        <v>15</v>
      </c>
      <c r="F5" t="s">
        <v>11</v>
      </c>
      <c r="G5">
        <v>5500</v>
      </c>
    </row>
    <row r="6" spans="1:7" x14ac:dyDescent="0.25">
      <c r="A6" s="1">
        <v>44931</v>
      </c>
      <c r="B6" t="s">
        <v>12</v>
      </c>
      <c r="C6" t="s">
        <v>13</v>
      </c>
      <c r="D6" t="s">
        <v>20</v>
      </c>
      <c r="E6" t="s">
        <v>15</v>
      </c>
      <c r="F6" t="s">
        <v>16</v>
      </c>
      <c r="G6">
        <v>3800</v>
      </c>
    </row>
    <row r="7" spans="1:7" x14ac:dyDescent="0.25">
      <c r="A7" s="1">
        <v>44932</v>
      </c>
      <c r="B7" t="s">
        <v>7</v>
      </c>
      <c r="C7" t="s">
        <v>17</v>
      </c>
      <c r="D7" t="s">
        <v>21</v>
      </c>
      <c r="E7" t="s">
        <v>10</v>
      </c>
      <c r="F7" t="s">
        <v>11</v>
      </c>
      <c r="G7">
        <v>4900</v>
      </c>
    </row>
    <row r="8" spans="1:7" x14ac:dyDescent="0.25">
      <c r="A8" s="1">
        <v>44933</v>
      </c>
      <c r="B8" t="s">
        <v>12</v>
      </c>
      <c r="C8" t="s">
        <v>8</v>
      </c>
      <c r="D8" t="s">
        <v>9</v>
      </c>
      <c r="E8" t="s">
        <v>15</v>
      </c>
      <c r="F8" t="s">
        <v>16</v>
      </c>
      <c r="G8">
        <v>6000</v>
      </c>
    </row>
    <row r="9" spans="1:7" x14ac:dyDescent="0.25">
      <c r="A9" s="1">
        <v>44934</v>
      </c>
      <c r="B9" t="s">
        <v>7</v>
      </c>
      <c r="C9" t="s">
        <v>17</v>
      </c>
      <c r="D9" t="s">
        <v>14</v>
      </c>
      <c r="E9" t="s">
        <v>10</v>
      </c>
      <c r="F9" t="s">
        <v>11</v>
      </c>
      <c r="G9">
        <v>4100</v>
      </c>
    </row>
    <row r="10" spans="1:7" x14ac:dyDescent="0.25">
      <c r="A10" s="1">
        <v>44935</v>
      </c>
      <c r="B10" t="s">
        <v>7</v>
      </c>
      <c r="C10" t="s">
        <v>8</v>
      </c>
      <c r="D10" t="s">
        <v>18</v>
      </c>
      <c r="E10" t="s">
        <v>15</v>
      </c>
      <c r="F10" t="s">
        <v>11</v>
      </c>
      <c r="G10">
        <v>5200</v>
      </c>
    </row>
    <row r="11" spans="1:7" x14ac:dyDescent="0.25">
      <c r="A11" s="1">
        <v>44936</v>
      </c>
      <c r="B11" t="s">
        <v>12</v>
      </c>
      <c r="C11" t="s">
        <v>13</v>
      </c>
      <c r="D11" t="s">
        <v>19</v>
      </c>
      <c r="E11" t="s">
        <v>10</v>
      </c>
      <c r="F11" t="s">
        <v>16</v>
      </c>
      <c r="G11">
        <v>4500</v>
      </c>
    </row>
    <row r="12" spans="1:7" x14ac:dyDescent="0.25">
      <c r="A12" s="1">
        <v>44958</v>
      </c>
      <c r="B12" t="s">
        <v>7</v>
      </c>
      <c r="C12" t="s">
        <v>8</v>
      </c>
      <c r="D12" t="s">
        <v>9</v>
      </c>
      <c r="E12" t="s">
        <v>15</v>
      </c>
      <c r="F12" t="s">
        <v>11</v>
      </c>
      <c r="G12">
        <v>5200</v>
      </c>
    </row>
    <row r="13" spans="1:7" x14ac:dyDescent="0.25">
      <c r="A13" s="1">
        <v>44959</v>
      </c>
      <c r="B13" t="s">
        <v>12</v>
      </c>
      <c r="C13" t="s">
        <v>13</v>
      </c>
      <c r="D13" t="s">
        <v>14</v>
      </c>
      <c r="E13" t="s">
        <v>10</v>
      </c>
      <c r="F13" t="s">
        <v>16</v>
      </c>
      <c r="G13">
        <v>3900</v>
      </c>
    </row>
    <row r="14" spans="1:7" x14ac:dyDescent="0.25">
      <c r="A14" s="1">
        <v>44960</v>
      </c>
      <c r="B14" t="s">
        <v>7</v>
      </c>
      <c r="C14" t="s">
        <v>17</v>
      </c>
      <c r="D14" t="s">
        <v>18</v>
      </c>
      <c r="E14" t="s">
        <v>15</v>
      </c>
      <c r="F14" t="s">
        <v>11</v>
      </c>
      <c r="G14">
        <v>5000</v>
      </c>
    </row>
    <row r="15" spans="1:7" x14ac:dyDescent="0.25">
      <c r="A15" s="1">
        <v>44961</v>
      </c>
      <c r="B15" t="s">
        <v>7</v>
      </c>
      <c r="C15" t="s">
        <v>8</v>
      </c>
      <c r="D15" t="s">
        <v>19</v>
      </c>
      <c r="E15" t="s">
        <v>10</v>
      </c>
      <c r="F15" t="s">
        <v>11</v>
      </c>
      <c r="G15">
        <v>5800</v>
      </c>
    </row>
    <row r="16" spans="1:7" x14ac:dyDescent="0.25">
      <c r="A16" s="1">
        <v>44962</v>
      </c>
      <c r="B16" t="s">
        <v>12</v>
      </c>
      <c r="C16" t="s">
        <v>13</v>
      </c>
      <c r="D16" t="s">
        <v>20</v>
      </c>
      <c r="E16" t="s">
        <v>10</v>
      </c>
      <c r="F16" t="s">
        <v>16</v>
      </c>
      <c r="G16">
        <v>4200</v>
      </c>
    </row>
    <row r="17" spans="1:7" x14ac:dyDescent="0.25">
      <c r="A17" s="1">
        <v>44963</v>
      </c>
      <c r="B17" t="s">
        <v>7</v>
      </c>
      <c r="C17" t="s">
        <v>17</v>
      </c>
      <c r="D17" t="s">
        <v>21</v>
      </c>
      <c r="E17" t="s">
        <v>15</v>
      </c>
      <c r="F17" t="s">
        <v>11</v>
      </c>
      <c r="G17">
        <v>5100</v>
      </c>
    </row>
    <row r="18" spans="1:7" x14ac:dyDescent="0.25">
      <c r="A18" s="1">
        <v>44964</v>
      </c>
      <c r="B18" t="s">
        <v>12</v>
      </c>
      <c r="C18" t="s">
        <v>8</v>
      </c>
      <c r="D18" t="s">
        <v>9</v>
      </c>
      <c r="E18" t="s">
        <v>10</v>
      </c>
      <c r="F18" t="s">
        <v>16</v>
      </c>
      <c r="G18">
        <v>6200</v>
      </c>
    </row>
    <row r="19" spans="1:7" x14ac:dyDescent="0.25">
      <c r="A19" s="1">
        <v>44965</v>
      </c>
      <c r="B19" t="s">
        <v>7</v>
      </c>
      <c r="C19" t="s">
        <v>17</v>
      </c>
      <c r="D19" t="s">
        <v>14</v>
      </c>
      <c r="E19" t="s">
        <v>15</v>
      </c>
      <c r="F19" t="s">
        <v>11</v>
      </c>
      <c r="G19">
        <v>4200</v>
      </c>
    </row>
    <row r="20" spans="1:7" x14ac:dyDescent="0.25">
      <c r="A20" s="1">
        <v>44966</v>
      </c>
      <c r="B20" t="s">
        <v>7</v>
      </c>
      <c r="C20" t="s">
        <v>8</v>
      </c>
      <c r="D20" t="s">
        <v>18</v>
      </c>
      <c r="E20" t="s">
        <v>10</v>
      </c>
      <c r="F20" t="s">
        <v>11</v>
      </c>
      <c r="G20">
        <v>5300</v>
      </c>
    </row>
    <row r="21" spans="1:7" x14ac:dyDescent="0.25">
      <c r="A21" s="1">
        <v>44967</v>
      </c>
      <c r="B21" t="s">
        <v>12</v>
      </c>
      <c r="C21" t="s">
        <v>13</v>
      </c>
      <c r="D21" t="s">
        <v>19</v>
      </c>
      <c r="E21" t="s">
        <v>15</v>
      </c>
      <c r="F21" t="s">
        <v>16</v>
      </c>
      <c r="G21">
        <v>4700</v>
      </c>
    </row>
    <row r="22" spans="1:7" x14ac:dyDescent="0.25">
      <c r="A22" s="1">
        <v>44986</v>
      </c>
      <c r="B22" t="s">
        <v>7</v>
      </c>
      <c r="C22" t="s">
        <v>8</v>
      </c>
      <c r="D22" t="s">
        <v>9</v>
      </c>
      <c r="E22" t="s">
        <v>10</v>
      </c>
      <c r="F22" t="s">
        <v>11</v>
      </c>
      <c r="G22">
        <v>5500</v>
      </c>
    </row>
    <row r="23" spans="1:7" x14ac:dyDescent="0.25">
      <c r="A23" s="1">
        <v>44987</v>
      </c>
      <c r="B23" t="s">
        <v>12</v>
      </c>
      <c r="C23" t="s">
        <v>13</v>
      </c>
      <c r="D23" t="s">
        <v>14</v>
      </c>
      <c r="E23" t="s">
        <v>10</v>
      </c>
      <c r="F23" t="s">
        <v>16</v>
      </c>
      <c r="G23">
        <v>4200</v>
      </c>
    </row>
    <row r="24" spans="1:7" x14ac:dyDescent="0.25">
      <c r="A24" s="1">
        <v>44988</v>
      </c>
      <c r="B24" t="s">
        <v>7</v>
      </c>
      <c r="C24" t="s">
        <v>17</v>
      </c>
      <c r="D24" t="s">
        <v>18</v>
      </c>
      <c r="E24" t="s">
        <v>15</v>
      </c>
      <c r="F24" t="s">
        <v>11</v>
      </c>
      <c r="G24">
        <v>5300</v>
      </c>
    </row>
    <row r="25" spans="1:7" x14ac:dyDescent="0.25">
      <c r="A25" s="1">
        <v>44989</v>
      </c>
      <c r="B25" t="s">
        <v>7</v>
      </c>
      <c r="C25" t="s">
        <v>8</v>
      </c>
      <c r="D25" t="s">
        <v>19</v>
      </c>
      <c r="E25" t="s">
        <v>15</v>
      </c>
      <c r="F25" t="s">
        <v>11</v>
      </c>
      <c r="G25">
        <v>6000</v>
      </c>
    </row>
    <row r="26" spans="1:7" x14ac:dyDescent="0.25">
      <c r="A26" s="1">
        <v>44990</v>
      </c>
      <c r="B26" t="s">
        <v>12</v>
      </c>
      <c r="C26" t="s">
        <v>13</v>
      </c>
      <c r="D26" t="s">
        <v>20</v>
      </c>
      <c r="E26" t="s">
        <v>15</v>
      </c>
      <c r="F26" t="s">
        <v>16</v>
      </c>
      <c r="G26">
        <v>4500</v>
      </c>
    </row>
    <row r="27" spans="1:7" x14ac:dyDescent="0.25">
      <c r="A27" s="1">
        <v>44991</v>
      </c>
      <c r="B27" t="s">
        <v>7</v>
      </c>
      <c r="C27" t="s">
        <v>17</v>
      </c>
      <c r="D27" t="s">
        <v>21</v>
      </c>
      <c r="E27" t="s">
        <v>10</v>
      </c>
      <c r="F27" t="s">
        <v>11</v>
      </c>
      <c r="G27">
        <v>5400</v>
      </c>
    </row>
    <row r="28" spans="1:7" x14ac:dyDescent="0.25">
      <c r="A28" s="1">
        <v>44992</v>
      </c>
      <c r="B28" t="s">
        <v>12</v>
      </c>
      <c r="C28" t="s">
        <v>8</v>
      </c>
      <c r="D28" t="s">
        <v>9</v>
      </c>
      <c r="E28" t="s">
        <v>15</v>
      </c>
      <c r="F28" t="s">
        <v>16</v>
      </c>
      <c r="G28">
        <v>6400</v>
      </c>
    </row>
    <row r="29" spans="1:7" x14ac:dyDescent="0.25">
      <c r="A29" s="1">
        <v>44993</v>
      </c>
      <c r="B29" t="s">
        <v>7</v>
      </c>
      <c r="C29" t="s">
        <v>17</v>
      </c>
      <c r="D29" t="s">
        <v>14</v>
      </c>
      <c r="E29" t="s">
        <v>10</v>
      </c>
      <c r="F29" t="s">
        <v>11</v>
      </c>
      <c r="G29">
        <v>4400</v>
      </c>
    </row>
    <row r="30" spans="1:7" x14ac:dyDescent="0.25">
      <c r="A30" s="1">
        <v>44994</v>
      </c>
      <c r="B30" t="s">
        <v>7</v>
      </c>
      <c r="C30" t="s">
        <v>8</v>
      </c>
      <c r="D30" t="s">
        <v>18</v>
      </c>
      <c r="E30" t="s">
        <v>15</v>
      </c>
      <c r="F30" t="s">
        <v>11</v>
      </c>
      <c r="G30">
        <v>5700</v>
      </c>
    </row>
    <row r="31" spans="1:7" x14ac:dyDescent="0.25">
      <c r="A31" s="1">
        <v>44995</v>
      </c>
      <c r="B31" t="s">
        <v>12</v>
      </c>
      <c r="C31" t="s">
        <v>13</v>
      </c>
      <c r="D31" t="s">
        <v>19</v>
      </c>
      <c r="E31" t="s">
        <v>10</v>
      </c>
      <c r="F31" t="s">
        <v>16</v>
      </c>
      <c r="G31">
        <v>4900</v>
      </c>
    </row>
    <row r="32" spans="1:7" x14ac:dyDescent="0.25">
      <c r="A32" s="1">
        <v>45017</v>
      </c>
      <c r="B32" t="s">
        <v>7</v>
      </c>
      <c r="C32" t="s">
        <v>8</v>
      </c>
      <c r="D32" t="s">
        <v>9</v>
      </c>
      <c r="E32" t="s">
        <v>10</v>
      </c>
      <c r="F32" t="s">
        <v>11</v>
      </c>
      <c r="G32">
        <v>5800</v>
      </c>
    </row>
    <row r="33" spans="1:7" x14ac:dyDescent="0.25">
      <c r="A33" s="1">
        <v>45018</v>
      </c>
      <c r="B33" t="s">
        <v>12</v>
      </c>
      <c r="C33" t="s">
        <v>13</v>
      </c>
      <c r="D33" t="s">
        <v>14</v>
      </c>
      <c r="E33" t="s">
        <v>10</v>
      </c>
      <c r="F33" t="s">
        <v>16</v>
      </c>
      <c r="G33">
        <v>4500</v>
      </c>
    </row>
    <row r="34" spans="1:7" x14ac:dyDescent="0.25">
      <c r="A34" s="1">
        <v>45019</v>
      </c>
      <c r="B34" t="s">
        <v>7</v>
      </c>
      <c r="C34" t="s">
        <v>17</v>
      </c>
      <c r="D34" t="s">
        <v>18</v>
      </c>
      <c r="E34" t="s">
        <v>15</v>
      </c>
      <c r="F34" t="s">
        <v>11</v>
      </c>
      <c r="G34">
        <v>5500</v>
      </c>
    </row>
    <row r="35" spans="1:7" x14ac:dyDescent="0.25">
      <c r="A35" s="1">
        <v>45020</v>
      </c>
      <c r="B35" t="s">
        <v>7</v>
      </c>
      <c r="C35" t="s">
        <v>8</v>
      </c>
      <c r="D35" t="s">
        <v>19</v>
      </c>
      <c r="E35" t="s">
        <v>15</v>
      </c>
      <c r="F35" t="s">
        <v>11</v>
      </c>
      <c r="G35">
        <v>6200</v>
      </c>
    </row>
    <row r="36" spans="1:7" x14ac:dyDescent="0.25">
      <c r="A36" s="1">
        <v>45021</v>
      </c>
      <c r="B36" t="s">
        <v>12</v>
      </c>
      <c r="C36" t="s">
        <v>13</v>
      </c>
      <c r="D36" t="s">
        <v>20</v>
      </c>
      <c r="E36" t="s">
        <v>10</v>
      </c>
      <c r="F36" t="s">
        <v>16</v>
      </c>
      <c r="G36">
        <v>4700</v>
      </c>
    </row>
    <row r="37" spans="1:7" x14ac:dyDescent="0.25">
      <c r="A37" s="1">
        <v>45022</v>
      </c>
      <c r="B37" t="s">
        <v>7</v>
      </c>
      <c r="C37" t="s">
        <v>17</v>
      </c>
      <c r="D37" t="s">
        <v>21</v>
      </c>
      <c r="E37" t="s">
        <v>15</v>
      </c>
      <c r="F37" t="s">
        <v>11</v>
      </c>
      <c r="G37">
        <v>5600</v>
      </c>
    </row>
    <row r="38" spans="1:7" x14ac:dyDescent="0.25">
      <c r="A38" s="1">
        <v>45023</v>
      </c>
      <c r="B38" t="s">
        <v>12</v>
      </c>
      <c r="C38" t="s">
        <v>8</v>
      </c>
      <c r="D38" t="s">
        <v>9</v>
      </c>
      <c r="E38" t="s">
        <v>10</v>
      </c>
      <c r="F38" t="s">
        <v>16</v>
      </c>
      <c r="G38">
        <v>6600</v>
      </c>
    </row>
    <row r="39" spans="1:7" x14ac:dyDescent="0.25">
      <c r="A39" s="1">
        <v>45024</v>
      </c>
      <c r="B39" t="s">
        <v>7</v>
      </c>
      <c r="C39" t="s">
        <v>17</v>
      </c>
      <c r="D39" t="s">
        <v>14</v>
      </c>
      <c r="E39" t="s">
        <v>15</v>
      </c>
      <c r="F39" t="s">
        <v>11</v>
      </c>
      <c r="G39">
        <v>4500</v>
      </c>
    </row>
    <row r="40" spans="1:7" x14ac:dyDescent="0.25">
      <c r="A40" s="1">
        <v>45025</v>
      </c>
      <c r="B40" t="s">
        <v>7</v>
      </c>
      <c r="C40" t="s">
        <v>8</v>
      </c>
      <c r="D40" t="s">
        <v>18</v>
      </c>
      <c r="E40" t="s">
        <v>15</v>
      </c>
      <c r="F40" t="s">
        <v>11</v>
      </c>
      <c r="G40">
        <v>5900</v>
      </c>
    </row>
    <row r="41" spans="1:7" x14ac:dyDescent="0.25">
      <c r="A41" s="1">
        <v>45026</v>
      </c>
      <c r="B41" t="s">
        <v>12</v>
      </c>
      <c r="C41" t="s">
        <v>13</v>
      </c>
      <c r="D41" t="s">
        <v>19</v>
      </c>
      <c r="E41" t="s">
        <v>10</v>
      </c>
      <c r="F41" t="s">
        <v>16</v>
      </c>
      <c r="G41">
        <v>5100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C171-1E34-4E86-BB9B-FBC132DDD2DC}">
  <dimension ref="A3:J24"/>
  <sheetViews>
    <sheetView zoomScale="70" zoomScaleNormal="70" workbookViewId="0">
      <selection activeCell="F25" sqref="F25"/>
    </sheetView>
  </sheetViews>
  <sheetFormatPr defaultRowHeight="15" x14ac:dyDescent="0.25"/>
  <cols>
    <col min="1" max="1" width="18.140625" bestFit="1" customWidth="1"/>
    <col min="2" max="2" width="14.5703125" bestFit="1" customWidth="1"/>
    <col min="3" max="3" width="27.140625" bestFit="1" customWidth="1"/>
    <col min="4" max="4" width="18.140625" bestFit="1" customWidth="1"/>
    <col min="5" max="5" width="14.5703125" bestFit="1" customWidth="1"/>
    <col min="6" max="6" width="26.85546875" bestFit="1" customWidth="1"/>
    <col min="7" max="7" width="18.140625" bestFit="1" customWidth="1"/>
    <col min="8" max="8" width="14.5703125" bestFit="1" customWidth="1"/>
    <col min="9" max="9" width="26.7109375" bestFit="1" customWidth="1"/>
    <col min="10" max="10" width="14.5703125" bestFit="1" customWidth="1"/>
    <col min="11" max="11" width="22" bestFit="1" customWidth="1"/>
    <col min="12" max="12" width="8.85546875" bestFit="1" customWidth="1"/>
    <col min="13" max="13" width="7.42578125" bestFit="1" customWidth="1"/>
    <col min="14" max="14" width="8.85546875" bestFit="1" customWidth="1"/>
    <col min="15" max="17" width="7.42578125" bestFit="1" customWidth="1"/>
    <col min="18" max="18" width="8.85546875" bestFit="1" customWidth="1"/>
    <col min="19" max="19" width="7.42578125" bestFit="1" customWidth="1"/>
    <col min="20" max="20" width="8.85546875" bestFit="1" customWidth="1"/>
    <col min="21" max="21" width="7.42578125" bestFit="1" customWidth="1"/>
    <col min="22" max="22" width="8.85546875" bestFit="1" customWidth="1"/>
    <col min="23" max="24" width="7.42578125" bestFit="1" customWidth="1"/>
    <col min="25" max="25" width="8.85546875" bestFit="1" customWidth="1"/>
    <col min="26" max="27" width="7.42578125" bestFit="1" customWidth="1"/>
    <col min="28" max="28" width="8.85546875" bestFit="1" customWidth="1"/>
    <col min="29" max="30" width="7.42578125" bestFit="1" customWidth="1"/>
    <col min="31" max="31" width="15.28515625" bestFit="1" customWidth="1"/>
  </cols>
  <sheetData>
    <row r="3" spans="1:10" x14ac:dyDescent="0.25">
      <c r="A3" s="2" t="s">
        <v>22</v>
      </c>
      <c r="B3" t="s">
        <v>29</v>
      </c>
      <c r="C3" t="s">
        <v>30</v>
      </c>
      <c r="D3" t="s">
        <v>31</v>
      </c>
      <c r="G3" s="2" t="s">
        <v>22</v>
      </c>
      <c r="H3" t="s">
        <v>32</v>
      </c>
      <c r="J3" t="s">
        <v>29</v>
      </c>
    </row>
    <row r="4" spans="1:10" x14ac:dyDescent="0.25">
      <c r="A4" s="3" t="s">
        <v>24</v>
      </c>
      <c r="B4">
        <v>49600</v>
      </c>
      <c r="C4">
        <v>47300</v>
      </c>
      <c r="D4" s="4">
        <v>4.6370967741935498E-2</v>
      </c>
      <c r="G4" s="3" t="s">
        <v>23</v>
      </c>
      <c r="H4">
        <v>47300</v>
      </c>
      <c r="J4">
        <v>203600</v>
      </c>
    </row>
    <row r="5" spans="1:10" x14ac:dyDescent="0.25">
      <c r="A5" s="3" t="s">
        <v>25</v>
      </c>
      <c r="B5">
        <v>52300</v>
      </c>
      <c r="C5">
        <v>49600</v>
      </c>
      <c r="D5" s="4">
        <v>5.1625239005736123E-2</v>
      </c>
      <c r="G5" s="3" t="s">
        <v>24</v>
      </c>
      <c r="H5">
        <v>2300</v>
      </c>
    </row>
    <row r="6" spans="1:10" x14ac:dyDescent="0.25">
      <c r="A6" s="3" t="s">
        <v>26</v>
      </c>
      <c r="B6">
        <v>54400</v>
      </c>
      <c r="C6">
        <v>52300</v>
      </c>
      <c r="D6" s="4">
        <v>3.8602941176470562E-2</v>
      </c>
      <c r="G6" s="3" t="s">
        <v>25</v>
      </c>
      <c r="H6">
        <v>2700</v>
      </c>
      <c r="J6" s="4" t="s">
        <v>33</v>
      </c>
    </row>
    <row r="7" spans="1:10" x14ac:dyDescent="0.25">
      <c r="A7" s="3" t="s">
        <v>28</v>
      </c>
      <c r="B7">
        <v>156300</v>
      </c>
      <c r="C7">
        <v>203600</v>
      </c>
      <c r="D7" s="4">
        <v>-0.30262316058861161</v>
      </c>
      <c r="G7" s="3" t="s">
        <v>26</v>
      </c>
      <c r="H7">
        <v>2100</v>
      </c>
      <c r="J7">
        <v>5090</v>
      </c>
    </row>
    <row r="8" spans="1:10" x14ac:dyDescent="0.25">
      <c r="G8" s="3" t="s">
        <v>27</v>
      </c>
      <c r="H8">
        <v>-54400</v>
      </c>
    </row>
    <row r="9" spans="1:10" x14ac:dyDescent="0.25">
      <c r="G9" s="3" t="s">
        <v>28</v>
      </c>
      <c r="H9">
        <v>0</v>
      </c>
      <c r="J9" t="s">
        <v>29</v>
      </c>
    </row>
    <row r="10" spans="1:10" x14ac:dyDescent="0.25">
      <c r="J10">
        <v>156300</v>
      </c>
    </row>
    <row r="11" spans="1:10" x14ac:dyDescent="0.25">
      <c r="C11" s="5"/>
      <c r="G11" t="str" cm="1">
        <f t="array" ref="G11:H15">G4:H8</f>
        <v>January</v>
      </c>
      <c r="H11">
        <v>47300</v>
      </c>
      <c r="I11" s="4"/>
    </row>
    <row r="12" spans="1:10" x14ac:dyDescent="0.25">
      <c r="A12" s="2" t="s">
        <v>22</v>
      </c>
      <c r="B12" t="s">
        <v>29</v>
      </c>
      <c r="C12" s="6"/>
      <c r="D12" s="2" t="s">
        <v>22</v>
      </c>
      <c r="E12" t="s">
        <v>29</v>
      </c>
      <c r="G12" t="str">
        <v>February</v>
      </c>
      <c r="H12">
        <v>2300</v>
      </c>
      <c r="I12" s="4"/>
    </row>
    <row r="13" spans="1:10" x14ac:dyDescent="0.25">
      <c r="A13" s="3" t="s">
        <v>20</v>
      </c>
      <c r="B13">
        <v>13400</v>
      </c>
      <c r="C13" s="6"/>
      <c r="D13" s="3" t="s">
        <v>9</v>
      </c>
      <c r="E13">
        <v>35700</v>
      </c>
      <c r="G13" t="str">
        <v>March</v>
      </c>
      <c r="H13">
        <v>2700</v>
      </c>
      <c r="I13" s="4"/>
    </row>
    <row r="14" spans="1:10" x14ac:dyDescent="0.25">
      <c r="A14" s="3" t="s">
        <v>21</v>
      </c>
      <c r="B14">
        <v>16100</v>
      </c>
      <c r="C14" s="6"/>
      <c r="D14" s="3" t="s">
        <v>19</v>
      </c>
      <c r="E14">
        <v>32700</v>
      </c>
      <c r="G14" t="str">
        <v>April</v>
      </c>
      <c r="H14">
        <v>2100</v>
      </c>
      <c r="I14" s="4"/>
    </row>
    <row r="15" spans="1:10" x14ac:dyDescent="0.25">
      <c r="A15" s="3" t="s">
        <v>14</v>
      </c>
      <c r="B15">
        <v>25700</v>
      </c>
      <c r="C15" s="6"/>
      <c r="D15" s="3" t="s">
        <v>18</v>
      </c>
      <c r="E15">
        <v>32700</v>
      </c>
      <c r="G15" t="str">
        <v>May</v>
      </c>
      <c r="H15">
        <v>-54400</v>
      </c>
      <c r="I15" s="4"/>
    </row>
    <row r="16" spans="1:10" x14ac:dyDescent="0.25">
      <c r="A16" s="3" t="s">
        <v>18</v>
      </c>
      <c r="B16">
        <v>32700</v>
      </c>
      <c r="C16" s="6"/>
      <c r="D16" s="3" t="s">
        <v>14</v>
      </c>
      <c r="E16">
        <v>25700</v>
      </c>
    </row>
    <row r="17" spans="1:8" x14ac:dyDescent="0.25">
      <c r="A17" s="3" t="s">
        <v>19</v>
      </c>
      <c r="B17">
        <v>32700</v>
      </c>
      <c r="C17" s="6"/>
      <c r="D17" s="3" t="s">
        <v>21</v>
      </c>
      <c r="E17">
        <v>16100</v>
      </c>
      <c r="G17" s="2" t="s">
        <v>22</v>
      </c>
      <c r="H17" t="s">
        <v>29</v>
      </c>
    </row>
    <row r="18" spans="1:8" x14ac:dyDescent="0.25">
      <c r="A18" s="3" t="s">
        <v>9</v>
      </c>
      <c r="B18">
        <v>35700</v>
      </c>
      <c r="D18" s="3" t="s">
        <v>20</v>
      </c>
      <c r="E18">
        <v>13400</v>
      </c>
      <c r="G18" s="3" t="s">
        <v>20</v>
      </c>
      <c r="H18">
        <v>13400</v>
      </c>
    </row>
    <row r="19" spans="1:8" x14ac:dyDescent="0.25">
      <c r="A19" s="3" t="s">
        <v>28</v>
      </c>
      <c r="B19">
        <v>156300</v>
      </c>
      <c r="D19" s="3" t="s">
        <v>28</v>
      </c>
      <c r="E19">
        <v>156300</v>
      </c>
      <c r="G19" s="3" t="s">
        <v>21</v>
      </c>
      <c r="H19">
        <v>16100</v>
      </c>
    </row>
    <row r="20" spans="1:8" x14ac:dyDescent="0.25">
      <c r="G20" s="3" t="s">
        <v>14</v>
      </c>
      <c r="H20">
        <v>25700</v>
      </c>
    </row>
    <row r="21" spans="1:8" x14ac:dyDescent="0.25">
      <c r="D21" t="str" cm="1">
        <f t="array" ref="D21:E21">D13:E13</f>
        <v>John</v>
      </c>
      <c r="E21">
        <v>35700</v>
      </c>
      <c r="G21" s="3" t="s">
        <v>18</v>
      </c>
      <c r="H21">
        <v>32700</v>
      </c>
    </row>
    <row r="22" spans="1:8" x14ac:dyDescent="0.25">
      <c r="D22" t="str">
        <f>D19</f>
        <v>Grand Total</v>
      </c>
      <c r="E22">
        <f>GETPIVOTDATA("[Measures].[Total Sales]",$J$9)</f>
        <v>156300</v>
      </c>
      <c r="G22" s="3" t="s">
        <v>19</v>
      </c>
      <c r="H22">
        <v>32700</v>
      </c>
    </row>
    <row r="23" spans="1:8" x14ac:dyDescent="0.25">
      <c r="D23" t="str" cm="1">
        <f t="array" ref="D23:E23">A13:B13</f>
        <v>Michael</v>
      </c>
      <c r="E23">
        <v>13400</v>
      </c>
      <c r="G23" s="3" t="s">
        <v>9</v>
      </c>
      <c r="H23">
        <v>35700</v>
      </c>
    </row>
    <row r="24" spans="1:8" x14ac:dyDescent="0.25">
      <c r="G24" s="3" t="s">
        <v>28</v>
      </c>
      <c r="H24">
        <v>156300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73EDB-EB05-412E-8D7A-C19AC3DFD74D}">
  <dimension ref="AB10"/>
  <sheetViews>
    <sheetView showGridLines="0" tabSelected="1" zoomScale="55" zoomScaleNormal="55" workbookViewId="0">
      <selection activeCell="AA1" sqref="A1:AA44"/>
    </sheetView>
  </sheetViews>
  <sheetFormatPr defaultRowHeight="15" x14ac:dyDescent="0.25"/>
  <sheetData>
    <row r="10" spans="28:28" ht="17.25" customHeight="1" x14ac:dyDescent="0.25">
      <c r="AB1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AE5B7BEE-88D1-4AD4-8AF3-135B81A200F8}">
  <ds:schemaRefs/>
</ds:datastoreItem>
</file>

<file path=customXml/itemProps2.xml><?xml version="1.0" encoding="utf-8"?>
<ds:datastoreItem xmlns:ds="http://schemas.openxmlformats.org/officeDocument/2006/customXml" ds:itemID="{CED388C2-CC63-4195-8D58-FF47017FC978}">
  <ds:schemaRefs/>
</ds:datastoreItem>
</file>

<file path=customXml/itemProps3.xml><?xml version="1.0" encoding="utf-8"?>
<ds:datastoreItem xmlns:ds="http://schemas.openxmlformats.org/officeDocument/2006/customXml" ds:itemID="{A53B7BE8-6D89-4CCA-A0E3-2B47FECB5534}">
  <ds:schemaRefs/>
</ds:datastoreItem>
</file>

<file path=customXml/itemProps4.xml><?xml version="1.0" encoding="utf-8"?>
<ds:datastoreItem xmlns:ds="http://schemas.openxmlformats.org/officeDocument/2006/customXml" ds:itemID="{718F62C1-AA4A-44BF-BF90-67958EC05147}">
  <ds:schemaRefs/>
</ds:datastoreItem>
</file>

<file path=customXml/itemProps5.xml><?xml version="1.0" encoding="utf-8"?>
<ds:datastoreItem xmlns:ds="http://schemas.openxmlformats.org/officeDocument/2006/customXml" ds:itemID="{B7F08040-12EE-4A4D-B794-B47452B5E461}">
  <ds:schemaRefs/>
</ds:datastoreItem>
</file>

<file path=customXml/itemProps6.xml><?xml version="1.0" encoding="utf-8"?>
<ds:datastoreItem xmlns:ds="http://schemas.openxmlformats.org/officeDocument/2006/customXml" ds:itemID="{604EEEA4-0E04-4340-9361-29B03A18A836}">
  <ds:schemaRefs/>
</ds:datastoreItem>
</file>

<file path=customXml/itemProps7.xml><?xml version="1.0" encoding="utf-8"?>
<ds:datastoreItem xmlns:ds="http://schemas.openxmlformats.org/officeDocument/2006/customXml" ds:itemID="{A964B0B9-E04B-46AF-9698-64857CF12CEC}">
  <ds:schemaRefs/>
</ds:datastoreItem>
</file>

<file path=customXml/itemProps8.xml><?xml version="1.0" encoding="utf-8"?>
<ds:datastoreItem xmlns:ds="http://schemas.openxmlformats.org/officeDocument/2006/customXml" ds:itemID="{1BD7FC2F-2A8D-4031-BD6D-2FB5EFAEBB45}">
  <ds:schemaRefs/>
</ds:datastoreItem>
</file>

<file path=customXml/itemProps9.xml><?xml version="1.0" encoding="utf-8"?>
<ds:datastoreItem xmlns:ds="http://schemas.openxmlformats.org/officeDocument/2006/customXml" ds:itemID="{A605D195-C8E9-476F-A4AC-A0F92EBC0FEA}">
  <ds:schemaRefs/>
</ds:datastoreItem>
</file>

<file path=customXml/itemProps10.xml><?xml version="1.0" encoding="utf-8"?>
<ds:datastoreItem xmlns:ds="http://schemas.openxmlformats.org/officeDocument/2006/customXml" ds:itemID="{DFE48676-A820-4A6C-B783-17C41F7727BC}">
  <ds:schemaRefs/>
</ds:datastoreItem>
</file>

<file path=customXml/itemProps11.xml><?xml version="1.0" encoding="utf-8"?>
<ds:datastoreItem xmlns:ds="http://schemas.openxmlformats.org/officeDocument/2006/customXml" ds:itemID="{FC6D93FF-203A-42FC-B14D-D54EED00F816}">
  <ds:schemaRefs/>
</ds:datastoreItem>
</file>

<file path=customXml/itemProps12.xml><?xml version="1.0" encoding="utf-8"?>
<ds:datastoreItem xmlns:ds="http://schemas.openxmlformats.org/officeDocument/2006/customXml" ds:itemID="{265860F0-BF01-4B06-BBDA-AC3ADAD7449E}">
  <ds:schemaRefs/>
</ds:datastoreItem>
</file>

<file path=customXml/itemProps13.xml><?xml version="1.0" encoding="utf-8"?>
<ds:datastoreItem xmlns:ds="http://schemas.openxmlformats.org/officeDocument/2006/customXml" ds:itemID="{06685A00-7EF0-48CF-B981-3C69294A5352}">
  <ds:schemaRefs/>
</ds:datastoreItem>
</file>

<file path=customXml/itemProps14.xml><?xml version="1.0" encoding="utf-8"?>
<ds:datastoreItem xmlns:ds="http://schemas.openxmlformats.org/officeDocument/2006/customXml" ds:itemID="{C16E9193-F396-431B-A8AD-25CE155A07C9}">
  <ds:schemaRefs/>
</ds:datastoreItem>
</file>

<file path=customXml/itemProps15.xml><?xml version="1.0" encoding="utf-8"?>
<ds:datastoreItem xmlns:ds="http://schemas.openxmlformats.org/officeDocument/2006/customXml" ds:itemID="{C7CED220-586F-45BE-8D73-3AAADEE29A30}">
  <ds:schemaRefs/>
</ds:datastoreItem>
</file>

<file path=customXml/itemProps16.xml><?xml version="1.0" encoding="utf-8"?>
<ds:datastoreItem xmlns:ds="http://schemas.openxmlformats.org/officeDocument/2006/customXml" ds:itemID="{1218BEEF-9C43-49E3-A583-832D9DDD7DE8}">
  <ds:schemaRefs/>
</ds:datastoreItem>
</file>

<file path=customXml/itemProps17.xml><?xml version="1.0" encoding="utf-8"?>
<ds:datastoreItem xmlns:ds="http://schemas.openxmlformats.org/officeDocument/2006/customXml" ds:itemID="{6F7FAC1C-E89D-4F49-BF63-474C1FC26C8E}">
  <ds:schemaRefs>
    <ds:schemaRef ds:uri="http://schemas.microsoft.com/DataMashup"/>
  </ds:schemaRefs>
</ds:datastoreItem>
</file>

<file path=customXml/itemProps18.xml><?xml version="1.0" encoding="utf-8"?>
<ds:datastoreItem xmlns:ds="http://schemas.openxmlformats.org/officeDocument/2006/customXml" ds:itemID="{4E803DD8-33FA-40A9-ABD4-A9103425D046}">
  <ds:schemaRefs/>
</ds:datastoreItem>
</file>

<file path=customXml/itemProps19.xml><?xml version="1.0" encoding="utf-8"?>
<ds:datastoreItem xmlns:ds="http://schemas.openxmlformats.org/officeDocument/2006/customXml" ds:itemID="{D7C20EEC-6249-4338-AFAA-47E9FEDF1E3C}">
  <ds:schemaRefs/>
</ds:datastoreItem>
</file>

<file path=customXml/itemProps20.xml><?xml version="1.0" encoding="utf-8"?>
<ds:datastoreItem xmlns:ds="http://schemas.openxmlformats.org/officeDocument/2006/customXml" ds:itemID="{C96D01C9-B7F2-41D7-95BB-BEEAB5CDA767}">
  <ds:schemaRefs/>
</ds:datastoreItem>
</file>

<file path=customXml/itemProps21.xml><?xml version="1.0" encoding="utf-8"?>
<ds:datastoreItem xmlns:ds="http://schemas.openxmlformats.org/officeDocument/2006/customXml" ds:itemID="{C2FB0846-9D3E-4DD2-B0DC-E6DFFA5B40FF}">
  <ds:schemaRefs/>
</ds:datastoreItem>
</file>

<file path=customXml/itemProps22.xml><?xml version="1.0" encoding="utf-8"?>
<ds:datastoreItem xmlns:ds="http://schemas.openxmlformats.org/officeDocument/2006/customXml" ds:itemID="{134285A2-48DB-4694-8588-38D9CED9209C}">
  <ds:schemaRefs/>
</ds:datastoreItem>
</file>

<file path=customXml/itemProps23.xml><?xml version="1.0" encoding="utf-8"?>
<ds:datastoreItem xmlns:ds="http://schemas.openxmlformats.org/officeDocument/2006/customXml" ds:itemID="{41B2F91A-8CD9-4846-9EE4-0DB643FB3E9E}">
  <ds:schemaRefs/>
</ds:datastoreItem>
</file>

<file path=customXml/itemProps24.xml><?xml version="1.0" encoding="utf-8"?>
<ds:datastoreItem xmlns:ds="http://schemas.openxmlformats.org/officeDocument/2006/customXml" ds:itemID="{9DFC0B9F-9C30-461C-BC51-DFCF60DAAF8E}">
  <ds:schemaRefs/>
</ds:datastoreItem>
</file>

<file path=customXml/itemProps25.xml><?xml version="1.0" encoding="utf-8"?>
<ds:datastoreItem xmlns:ds="http://schemas.openxmlformats.org/officeDocument/2006/customXml" ds:itemID="{E664AB3F-5D9B-4767-822B-3CAEC395EAEB}">
  <ds:schemaRefs/>
</ds:datastoreItem>
</file>

<file path=customXml/itemProps26.xml><?xml version="1.0" encoding="utf-8"?>
<ds:datastoreItem xmlns:ds="http://schemas.openxmlformats.org/officeDocument/2006/customXml" ds:itemID="{4DCE93A2-4F6C-421F-A478-10414B172B2C}">
  <ds:schemaRefs/>
</ds:datastoreItem>
</file>

<file path=customXml/itemProps27.xml><?xml version="1.0" encoding="utf-8"?>
<ds:datastoreItem xmlns:ds="http://schemas.openxmlformats.org/officeDocument/2006/customXml" ds:itemID="{4FEA6928-AC26-4004-AC39-12C73EB72720}">
  <ds:schemaRefs/>
</ds:datastoreItem>
</file>

<file path=customXml/itemProps28.xml><?xml version="1.0" encoding="utf-8"?>
<ds:datastoreItem xmlns:ds="http://schemas.openxmlformats.org/officeDocument/2006/customXml" ds:itemID="{7C84F7AA-05A3-4207-A2B6-8F7C94FDF37B}">
  <ds:schemaRefs/>
</ds:datastoreItem>
</file>

<file path=customXml/itemProps29.xml><?xml version="1.0" encoding="utf-8"?>
<ds:datastoreItem xmlns:ds="http://schemas.openxmlformats.org/officeDocument/2006/customXml" ds:itemID="{AA7C3A58-47ED-4CDA-917C-0E8BE83B2D8D}">
  <ds:schemaRefs/>
</ds:datastoreItem>
</file>

<file path=customXml/itemProps30.xml><?xml version="1.0" encoding="utf-8"?>
<ds:datastoreItem xmlns:ds="http://schemas.openxmlformats.org/officeDocument/2006/customXml" ds:itemID="{DDBB601E-4A13-4E2B-890D-1FFE859A1E13}">
  <ds:schemaRefs/>
</ds:datastoreItem>
</file>

<file path=customXml/itemProps31.xml><?xml version="1.0" encoding="utf-8"?>
<ds:datastoreItem xmlns:ds="http://schemas.openxmlformats.org/officeDocument/2006/customXml" ds:itemID="{EEE0CC32-A664-4F18-81C0-42C6560D02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sohaib omar</cp:lastModifiedBy>
  <dcterms:created xsi:type="dcterms:W3CDTF">2015-06-05T18:17:20Z</dcterms:created>
  <dcterms:modified xsi:type="dcterms:W3CDTF">2026-06-22T16:28:34Z</dcterms:modified>
</cp:coreProperties>
</file>